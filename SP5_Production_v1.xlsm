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_com.sap.ip.bi.xl.hiddensheet" sheetId="1" r:id="rId5"/>
    <sheet state="visible" name="LED" sheetId="2" r:id="rId6"/>
    <sheet state="visible" name="timesheet" sheetId="3" r:id="rId7"/>
    <sheet state="visible" name="LOGSHEET" sheetId="4" r:id="rId8"/>
    <sheet state="visible" name="DAILY" sheetId="5" r:id="rId9"/>
    <sheet state="hidden" name="REPORT1" sheetId="6" r:id="rId10"/>
    <sheet state="visible" name="REPORT" sheetId="7" r:id="rId11"/>
    <sheet state="hidden" name="CondForm" sheetId="8" r:id="rId12"/>
  </sheets>
  <externalReferences>
    <externalReference r:id="rId13"/>
  </externalReferences>
  <definedNames>
    <definedName localSheetId="5" name="hourmin">timesheet!$BB$4:$BB$100</definedName>
    <definedName name="PRESHIFT">DAILY!$C$15:$Q$16</definedName>
    <definedName name="SAPCrosstab9">#REF!</definedName>
    <definedName localSheetId="5" name="SAPCrosstab10">#REF!</definedName>
    <definedName name="hourComboSp">timesheet!$CV$8:$CV$16</definedName>
    <definedName name="SAPCrosstab6">#REF!</definedName>
    <definedName name="SAPCrosstab1">#REF!</definedName>
    <definedName localSheetId="5" name="INTIAL1">DAILY!$C$5:$O$5</definedName>
    <definedName name="SAPCrosstab2">#REF!</definedName>
    <definedName localSheetId="5" name="SAPCrosstab9">#REF!</definedName>
    <definedName name="SAPCrosstab10">#REF!</definedName>
    <definedName localSheetId="5" name="hour">timesheet!$AM$3:$AM$11</definedName>
    <definedName localSheetId="5" name="SAPCrosstab2">#REF!</definedName>
    <definedName name="min">timesheet!$AO$2:$AO$13</definedName>
    <definedName name="INTIAL2">LOGSHEET!$C$41:$K$41</definedName>
    <definedName name="INITIAL_READIND">DAILY!$C$5:$R$14</definedName>
    <definedName name="SAPCrosstab11">#REF!</definedName>
    <definedName localSheetId="5" name="SAPCrosstab7">#REF!</definedName>
    <definedName name="hour">timesheet!$AM$3:$AM$11</definedName>
    <definedName name="shift">timesheet!$AH$15:$AH$17</definedName>
    <definedName name="SAPCrosstab7">#REF!</definedName>
    <definedName name="SAPCrosstab5">#REF!</definedName>
    <definedName name="STOP">timesheet!$AS$3:$AS$12</definedName>
    <definedName localSheetId="5" name="SAPCrosstab1">#REF!</definedName>
    <definedName name="START">timesheet!$AQ$3:$AQ$12</definedName>
    <definedName localSheetId="5" name="NP_SYSTEM">DAILY!$S$7:$T$15</definedName>
    <definedName localSheetId="5" name="SAPCrosstab3">#REF!</definedName>
    <definedName name="hourmin">timesheet!$BB$4:$BB$100</definedName>
    <definedName localSheetId="5" name="SAPCrosstab4">#REF!</definedName>
    <definedName localSheetId="5" name="TOTAL_TIME">timesheet!$A$36:$K$46</definedName>
    <definedName name="NP_SYSTEM">DAILY!$T$7:$U$15</definedName>
    <definedName name="TOTAL_TIME">timesheet!$A$36:$K$46</definedName>
    <definedName name="DataValidationRange">DAILY!$I$7:$Q$14</definedName>
    <definedName localSheetId="5" name="SAPCrosstab8">#REF!</definedName>
    <definedName name="minComboSp">timesheet!$CX$8:$CX$19</definedName>
    <definedName name="SAPCrosstab8">#REF!</definedName>
    <definedName name="INTIAL1">DAILY!$C$5:$P$5</definedName>
    <definedName localSheetId="5" name="INITIAL_READIND">DAILY!$C$5:$Q$14</definedName>
    <definedName name="shift1">LOGSHEET!$I$57:$I$59</definedName>
    <definedName localSheetId="5" name="SAPCrosstab11">#REF!</definedName>
    <definedName localSheetId="5" name="SAPCrosstab5">#REF!</definedName>
    <definedName name="SAPCrosstab4">#REF!</definedName>
    <definedName name="Daily">DAILY!$B$2:$U$24</definedName>
    <definedName localSheetId="5" name="min">timesheet!$AO$2:$AO$13</definedName>
    <definedName name="Timesheet">timesheet!$B$1:$Y$31</definedName>
    <definedName localSheetId="5" name="SAPCrosstab6">#REF!</definedName>
    <definedName name="SAPCrosstab3">#REF!</definedName>
    <definedName name="MSD_07">LOGSHEET!$C$2:$AB$33</definedName>
  </definedNames>
  <calcPr/>
  <extLst>
    <ext uri="GoogleSheetsCustomDataVersion2">
      <go:sheetsCustomData xmlns:go="http://customooxmlschemas.google.com/" r:id="rId14" roundtripDataChecksum="D+7frTlFFMzeVKYUahDneZmqoqgWTm51X1hHNS5aGoU="/>
    </ext>
  </extLst>
</workbook>
</file>

<file path=xl/sharedStrings.xml><?xml version="1.0" encoding="utf-8"?>
<sst xmlns="http://schemas.openxmlformats.org/spreadsheetml/2006/main" count="706" uniqueCount="361">
  <si>
    <t>DATE</t>
  </si>
  <si>
    <t>DAY</t>
  </si>
  <si>
    <t>I</t>
  </si>
  <si>
    <t>II</t>
  </si>
  <si>
    <t>III</t>
  </si>
  <si>
    <t>ROM</t>
  </si>
  <si>
    <t>DAY TOTAL</t>
  </si>
  <si>
    <t>TARGET</t>
  </si>
  <si>
    <t>ACHIEVED</t>
  </si>
  <si>
    <t>Remain Days</t>
  </si>
  <si>
    <t>Require/Days</t>
  </si>
  <si>
    <t>“Housekeeping is part of maintenance. Keep your workplace clean.”</t>
  </si>
  <si>
    <t>SHIFT-</t>
  </si>
  <si>
    <t>min</t>
  </si>
  <si>
    <t>EFFECTIVE HOURS</t>
  </si>
  <si>
    <t>DATE-</t>
  </si>
  <si>
    <t>hour</t>
  </si>
  <si>
    <t>A LINE START</t>
  </si>
  <si>
    <t>A LINE STOP</t>
  </si>
  <si>
    <t xml:space="preserve">START </t>
  </si>
  <si>
    <t xml:space="preserve">STOP </t>
  </si>
  <si>
    <t>START</t>
  </si>
  <si>
    <t>STOP</t>
  </si>
  <si>
    <t>S,NO</t>
  </si>
  <si>
    <t>hourmin</t>
  </si>
  <si>
    <t>S.NO</t>
  </si>
  <si>
    <t>hourminCLst</t>
  </si>
  <si>
    <t>S.NO.</t>
  </si>
  <si>
    <t>hourminCLsp</t>
  </si>
  <si>
    <t>hourminLPsp</t>
  </si>
  <si>
    <t>hourminSPsp</t>
  </si>
  <si>
    <t>hourminTCPst</t>
  </si>
  <si>
    <t>hourminTCPAsp</t>
  </si>
  <si>
    <t>hourminTCPBsp</t>
  </si>
  <si>
    <t>hourminTCPCsp</t>
  </si>
  <si>
    <t>hourminAsp</t>
  </si>
  <si>
    <t>hourminBsp</t>
  </si>
  <si>
    <t>hourminCsp</t>
  </si>
  <si>
    <t>hourminDsp</t>
  </si>
  <si>
    <t>hourminLPst</t>
  </si>
  <si>
    <t>hourminSPst</t>
  </si>
  <si>
    <t>hourminAst</t>
  </si>
  <si>
    <t>hourminBst</t>
  </si>
  <si>
    <t>hourminCst</t>
  </si>
  <si>
    <t>hourminDst</t>
  </si>
  <si>
    <t>COMMON LINE</t>
  </si>
  <si>
    <t>A LINE</t>
  </si>
  <si>
    <t>B LINE</t>
  </si>
  <si>
    <t>C LINE</t>
  </si>
  <si>
    <t>D LINE</t>
  </si>
  <si>
    <t>TCP A LINE</t>
  </si>
  <si>
    <t>TCP B LINE</t>
  </si>
  <si>
    <t>TCP C LINE</t>
  </si>
  <si>
    <t>B LINE START</t>
  </si>
  <si>
    <t>B LINE STOP</t>
  </si>
  <si>
    <t>TOTAL</t>
  </si>
  <si>
    <t>START2</t>
  </si>
  <si>
    <t>STOP3</t>
  </si>
  <si>
    <t>TOTAL4</t>
  </si>
  <si>
    <t>START5</t>
  </si>
  <si>
    <t>STOP6</t>
  </si>
  <si>
    <t>TOTAL7</t>
  </si>
  <si>
    <t>START8</t>
  </si>
  <si>
    <t>STOP9</t>
  </si>
  <si>
    <t>TOTAL10</t>
  </si>
  <si>
    <t>START11</t>
  </si>
  <si>
    <t>STOP12</t>
  </si>
  <si>
    <t>TOTAL13</t>
  </si>
  <si>
    <t>START14</t>
  </si>
  <si>
    <t>STOP15</t>
  </si>
  <si>
    <t>TOTAL16</t>
  </si>
  <si>
    <t>START17</t>
  </si>
  <si>
    <t>STOP18</t>
  </si>
  <si>
    <t>TOTAL19</t>
  </si>
  <si>
    <t>START20</t>
  </si>
  <si>
    <t>STOP21</t>
  </si>
  <si>
    <t>TOTAL22</t>
  </si>
  <si>
    <t>C LINE START</t>
  </si>
  <si>
    <t>C LINE STOP</t>
  </si>
  <si>
    <t xml:space="preserve"> STOP</t>
  </si>
  <si>
    <t>D LINE START</t>
  </si>
  <si>
    <t>D LINE STOP</t>
  </si>
  <si>
    <t>COM LINE START</t>
  </si>
  <si>
    <t>COM LINE STOP</t>
  </si>
  <si>
    <t>TCP A LINE START</t>
  </si>
  <si>
    <t>TCP A LINE STOP</t>
  </si>
  <si>
    <t>TCP B LINE START</t>
  </si>
  <si>
    <t>TCP B LINE STOP</t>
  </si>
  <si>
    <t>TCP C LINE START</t>
  </si>
  <si>
    <t>TCP C LINE STOP</t>
  </si>
  <si>
    <t>LP STOPPAGE START</t>
  </si>
  <si>
    <t>LP STOPPAGE END</t>
  </si>
  <si>
    <t>SP STOPPAGE START</t>
  </si>
  <si>
    <t>SP STOPPAGE END</t>
  </si>
  <si>
    <t>spMax</t>
  </si>
  <si>
    <t>stMax</t>
  </si>
  <si>
    <t>SP</t>
  </si>
  <si>
    <t>SCREENING PLANT STOPPAGE</t>
  </si>
  <si>
    <t>LP</t>
  </si>
  <si>
    <t>LOADING PLANT STOPPAGE</t>
  </si>
  <si>
    <t xml:space="preserve">TO DATA </t>
  </si>
  <si>
    <t>ALINE</t>
  </si>
  <si>
    <t>bLINE</t>
  </si>
  <si>
    <t>cLINE</t>
  </si>
  <si>
    <t>dLINE</t>
  </si>
  <si>
    <t>cl LINE</t>
  </si>
  <si>
    <t>tcpALINE</t>
  </si>
  <si>
    <t>tcp bLINE</t>
  </si>
  <si>
    <t>sp</t>
  </si>
  <si>
    <t>lp</t>
  </si>
  <si>
    <t>H</t>
  </si>
  <si>
    <t>Please Select Lines</t>
  </si>
  <si>
    <t>Please Lines Select Karen</t>
  </si>
  <si>
    <t>Does Plant Start With A Line?</t>
  </si>
  <si>
    <t>Kya Plant Start Hone Ke Saath, A line Bhi Start Ho Rha Hai?</t>
  </si>
  <si>
    <t>Does Plant Start With B Line?</t>
  </si>
  <si>
    <t>Kya Plant Start Hone Ke Saath, B line Bhi Start Ho Rha Hai?</t>
  </si>
  <si>
    <t>Does Plant Start With C Line?</t>
  </si>
  <si>
    <t>Kya Plant Start Hone Ke Saath, C line Bhi Start Ho Rha Hai?</t>
  </si>
  <si>
    <t>Does Plant Start With D Line?</t>
  </si>
  <si>
    <t>Kya Plant Start Hone Ke Saath, D line Bhi Start Ho Rha Hai?</t>
  </si>
  <si>
    <t>Does Plant Start With TCP A Line?</t>
  </si>
  <si>
    <t>Kya Plant Start Hone Ke Saath, TCP A line Bhi Start Ho Rha Hai?</t>
  </si>
  <si>
    <t>Does Plant Start With TCP B Line?</t>
  </si>
  <si>
    <t>Kya Plant Start Hone Ke Saath, TCP B line Bhi Start Ho Rha Hai?</t>
  </si>
  <si>
    <t>Does Plant Start With TCP C Line?</t>
  </si>
  <si>
    <t>Kya Plant Start Hone Ke Saath, TCP C line Bhi Start Ho Rha Hai?</t>
  </si>
  <si>
    <t>Please Mention Reason Loading Plant Stoppage</t>
  </si>
  <si>
    <t>Please Loading Plant Stoppage Ka Reason Bataayen</t>
  </si>
  <si>
    <t>Does Running Plant Stop Due To Loading Plant Stoppage?</t>
  </si>
  <si>
    <t>Kya Loading Plant Stoppage Hone Ke Sath, Chaalu Plant Bhi Stop Ho Gya Hai ?</t>
  </si>
  <si>
    <t>Does Before loading Plant Stoppage ,Plant Was Stopped Due To Screening Plant Stoppage?</t>
  </si>
  <si>
    <t>Kya Loading Plant Stoppage Hone Se Pahle Screening Plant Stoppage Se Band Tha ?</t>
  </si>
  <si>
    <t>Please Mention Reason</t>
  </si>
  <si>
    <t>Please Reason Bataayen</t>
  </si>
  <si>
    <t>Means Plant Stop Stopped From Starting Shift</t>
  </si>
  <si>
    <t>Ohh !!! Means Plant, shift ke Starting Se Band Hai</t>
  </si>
  <si>
    <t>Please Mention For Reason Screening Plant Stoppage</t>
  </si>
  <si>
    <t>Please Screening Plant Stoppage Ka Reason Bataayen</t>
  </si>
  <si>
    <t>Does Running Plant Stop Due To Screening Plant Stoppage ?</t>
  </si>
  <si>
    <t>Kya Screening Plant Stoppage Hone Ke Sath, Chaalu Plant Bhi Stop Ho Gya Hai?</t>
  </si>
  <si>
    <t>Does Before Screening Plant Stoppage ,Plant Was Stopped Due To Loading Plant Stoppage?</t>
  </si>
  <si>
    <t>Kya Screening Plant Stoppage Hone Se Pahle Loading Plant Stoppage Se Band Tha ?</t>
  </si>
  <si>
    <t>Does Plant Stop Due To Loading Plant Stoppage ?</t>
  </si>
  <si>
    <t>Kya Plant, Loading Plant Stoppage Se Band Hua Hai ?</t>
  </si>
  <si>
    <t>Does Plant Continue Stop With Screening Plant Stoppage ?</t>
  </si>
  <si>
    <t>Kya Plant,Screening Plant Stoppage Se Band Hua Hai ?</t>
  </si>
  <si>
    <t>This Shift Has Ended,Please Save The Logsheet</t>
  </si>
  <si>
    <t>Means Current Shift End Ho Gaya Hai ,Please Logsheet Save kar lijiye</t>
  </si>
  <si>
    <t>Loading Plant Stappage Has Ended</t>
  </si>
  <si>
    <t>Loading Plant Stappage End Ho Gya Hai</t>
  </si>
  <si>
    <t>Now Does The Plant  Again Stop Due To Screening Plant Stoppage ?</t>
  </si>
  <si>
    <t>Kya Plant,Ab Fir Se Screening Plant Stoppage Se Band  Ho Gya Hai?</t>
  </si>
  <si>
    <t>Does Plant Start From Screening Plant With Common Lines ?</t>
  </si>
  <si>
    <t>Kya Plant, Common Lines Ke Sath ,Stat Ho Rha Hai?</t>
  </si>
  <si>
    <t>Screening Plant Stappage Has Ended</t>
  </si>
  <si>
    <t>Screening Plant Stappage End Ho Gya Hai</t>
  </si>
  <si>
    <t>Now Does The Plant  Again Stop Due To Loading Plant Stoppage ?</t>
  </si>
  <si>
    <t>Kya Plant,Ab Fir Se Loading Plant Stoppage Se Band  Ho Gya Hai?</t>
  </si>
  <si>
    <t>Does TCP Also Stopped ?</t>
  </si>
  <si>
    <t>Kya TCP Bhi Band Hua Hai ?</t>
  </si>
  <si>
    <t>Please Enter Shift Detail</t>
  </si>
  <si>
    <t>Please Shift Enter Karen</t>
  </si>
  <si>
    <t>Please Enter Date</t>
  </si>
  <si>
    <t>Please Date Enter Karen</t>
  </si>
  <si>
    <t>Your START time entry is Empty Do you wish to add it?</t>
  </si>
  <si>
    <t>Aapka START Time Entry Khali Hai Kya Aap  START Time Dalana Chahenge?</t>
  </si>
  <si>
    <t>Your STOP time entry is Empty Do you wish to add it?</t>
  </si>
  <si>
    <t>Aapka STOP Time Entry Khali Hai Kya Aap  STOP Time Dalana Chahenge?</t>
  </si>
  <si>
    <t>Are you Sure? This Will Delete Your Current Shift Data</t>
  </si>
  <si>
    <t>Kya App Sure Hain? App Is Shift Ki Data Entry  Delete Karane Ja Rhae Hain</t>
  </si>
  <si>
    <t>Are You Sure? This Will Delete Your Current Shift Time Entry</t>
  </si>
  <si>
    <t>Kya App Sure Hain? App Is Shift Ki  Time Entry Delete Karane Ja Rhae Hain</t>
  </si>
  <si>
    <t>Are you Sure? This Will Delete Your Current Shift Data Entry and Time Entry</t>
  </si>
  <si>
    <t>Kya App Sure Hain? App Is Shift Ki Data Entry Aur Time Entry Delete Karane Ja Rhae Hain</t>
  </si>
  <si>
    <t>Your Now Preparing For New Log Sheet</t>
  </si>
  <si>
    <t>Ab Aap Naye LogSheet Ke Liye Tyaar Ho Rhe Hain</t>
  </si>
  <si>
    <t>MSD/07-103/REV.01</t>
  </si>
  <si>
    <t>B.I.O.P Dep No 5,10/11A</t>
  </si>
  <si>
    <t>SCREENING PLANT SHIFT PERFORMANCE REPORT DEP.-5</t>
  </si>
  <si>
    <t>S/P Started -</t>
  </si>
  <si>
    <t>TCP Started -</t>
  </si>
  <si>
    <t>NP Started -</t>
  </si>
  <si>
    <t>FOR Started -</t>
  </si>
  <si>
    <t>SHIFT</t>
  </si>
  <si>
    <t>S/P Stoped -</t>
  </si>
  <si>
    <t>TCP Stoped -</t>
  </si>
  <si>
    <t>NP Stoped-</t>
  </si>
  <si>
    <t>FOR Stoped -</t>
  </si>
  <si>
    <t>BELT SCALE READING</t>
  </si>
  <si>
    <t>TIME</t>
  </si>
  <si>
    <t xml:space="preserve">   36A  </t>
  </si>
  <si>
    <t xml:space="preserve">    36B</t>
  </si>
  <si>
    <t xml:space="preserve">    36C</t>
  </si>
  <si>
    <t xml:space="preserve">    36D</t>
  </si>
  <si>
    <t xml:space="preserve">    36E</t>
  </si>
  <si>
    <t>41 TO TCP</t>
  </si>
  <si>
    <t>41 TO 61</t>
  </si>
  <si>
    <t>43 AS CLO</t>
  </si>
  <si>
    <t>43 AS LUMP</t>
  </si>
  <si>
    <t>NP1</t>
  </si>
  <si>
    <t>PER HR</t>
  </si>
  <si>
    <t>PR. CUM PROD</t>
  </si>
  <si>
    <t>SHIFT PROD</t>
  </si>
  <si>
    <t>TOTAL  CU PROD</t>
  </si>
  <si>
    <t xml:space="preserve"> DLINE</t>
  </si>
  <si>
    <t xml:space="preserve"> E LINE</t>
  </si>
  <si>
    <t>COM L</t>
  </si>
  <si>
    <t>TCP A</t>
  </si>
  <si>
    <t>TCP B</t>
  </si>
  <si>
    <t>TCP C</t>
  </si>
  <si>
    <t xml:space="preserve"> DETAIL</t>
  </si>
  <si>
    <t xml:space="preserve"> PRE PROD.</t>
  </si>
  <si>
    <t>PROD.</t>
  </si>
  <si>
    <t>CUMULATIVE</t>
  </si>
  <si>
    <t>DETAIL</t>
  </si>
  <si>
    <t>PRE PROD.</t>
  </si>
  <si>
    <t>PROD</t>
  </si>
  <si>
    <t>ROM Monthly</t>
  </si>
  <si>
    <t>NP2</t>
  </si>
  <si>
    <t>SLIME Monthly</t>
  </si>
  <si>
    <t>NP9 CLO</t>
  </si>
  <si>
    <t>LUMP Monthly</t>
  </si>
  <si>
    <t>NP9 LUMP</t>
  </si>
  <si>
    <t>CLO Monthly</t>
  </si>
  <si>
    <t>NP FINES</t>
  </si>
  <si>
    <t>FINE Monthly</t>
  </si>
  <si>
    <t>FOD</t>
  </si>
  <si>
    <t>FOR Monthly</t>
  </si>
  <si>
    <t>S/L LUMP</t>
  </si>
  <si>
    <t>ROM Yearly</t>
  </si>
  <si>
    <t>D/L LUMP</t>
  </si>
  <si>
    <t>SLIME Yearly</t>
  </si>
  <si>
    <t>S/L CLO</t>
  </si>
  <si>
    <t>D/H SS III Yearly</t>
  </si>
  <si>
    <t>D/L CLO</t>
  </si>
  <si>
    <t>LUMP Yearly</t>
  </si>
  <si>
    <t>S/L FINE</t>
  </si>
  <si>
    <t>CLO Yearly</t>
  </si>
  <si>
    <t>D/L FINE</t>
  </si>
  <si>
    <t xml:space="preserve">TOTAL </t>
  </si>
  <si>
    <t>FINES Yearly</t>
  </si>
  <si>
    <t>L+C+F Yearly</t>
  </si>
  <si>
    <t>A</t>
  </si>
  <si>
    <t>B</t>
  </si>
  <si>
    <t>C</t>
  </si>
  <si>
    <t>D</t>
  </si>
  <si>
    <t>HOULY ROM</t>
  </si>
  <si>
    <t>total rom</t>
  </si>
  <si>
    <t>ITEM</t>
  </si>
  <si>
    <t>READING</t>
  </si>
  <si>
    <t>S/L  FINE</t>
  </si>
  <si>
    <t>D/L  FINE</t>
  </si>
  <si>
    <t>FOR</t>
  </si>
  <si>
    <t>SS III</t>
  </si>
  <si>
    <t>STAR STOP</t>
  </si>
  <si>
    <t>S/P</t>
  </si>
  <si>
    <t>ERROR!!!! PLEASE CHECK "LINES( A, B, C,D ) CUMULATIVE" WITH "ROM CUMMULATIVE",DATA DOES NOT MATCH .</t>
  </si>
  <si>
    <t>ERROR!!!! DATA MATCH NHI HO RHA HAI…  "ROM CUMMULATIVE"  KE SATH  LINES (A,B,C,D) CUMMULATIVE " CHECK KAREN I</t>
  </si>
  <si>
    <t>TCPA</t>
  </si>
  <si>
    <t>1st</t>
  </si>
  <si>
    <t>ERROR!!!! PLEASE CHECK COMMON LINES(C41, C43, CNP1, C78) CUMULATIVE WITH ROM CUMMULATIVE,DATA DOES NOT MATCH</t>
  </si>
  <si>
    <t>ERROR!!!!  DATA MATCH NHI HO RHA HAI… " ROM CUMMULATIVE " KE SATH "COMMON LINES(C41, C43, CNP1, C78) CUMULATIVE" CHECK KAREN I</t>
  </si>
  <si>
    <t xml:space="preserve">NP </t>
  </si>
  <si>
    <t>2nd</t>
  </si>
  <si>
    <t>ERROR!!!! PLEASE CHECK LINES(C43 CLO ,C614 CLO ) &amp; NP9 CLO CUMMULATIVE WITH MONTHLY CLO CUMMULATIVE,DATA DOES NOT MATCH .</t>
  </si>
  <si>
    <t>ERROR!!!!  DATA MATCH NHI HO RHA HAI… " MOTHLY CLO CUMMULATIVE"  KE SATH "LINES(C43 CLO, C614 CLO) AUR NP9 CLO CUMULATIVE" CHECK KAREN I</t>
  </si>
  <si>
    <t>3rd</t>
  </si>
  <si>
    <t>ERROR!!!! PLEASE CHECK" LINES(C78 FINES ,C618 FINES ) &amp; NP FINES CUMMULATIVE" WITH "MONTHLY FINE CUMMULATIVE",DATA DOES NOT MATCH .</t>
  </si>
  <si>
    <t>ERROR!!!!  DATA MATCH NHI HO RHA HAI… " MOTHLY FINE CUMMULATIVE"  KE SATH "LINES(C78 FINE, C618 FINE) AUR NP FINE CUMULATIVE" CHECK KAREN I</t>
  </si>
  <si>
    <t>ERROR!!!! PLEASE CHECK "LINES(C41 LUMP ,C43 LUMP ) &amp; NP9 LUMP CUMMULATIVE" WITH "MONTHLY LUMP CUMMULATIVE",DATA DOES NOT MATCH .</t>
  </si>
  <si>
    <t>ERROR!!!!  DATA MATCH NHI HO RHA HAI… " MOTHLY LUMP CUMMULATIVE"  KE SATH "LINES(C41 LUMP, C43 LUMP) AUR NP9 LUMP CUMULATIVE" CHECK KAREN I</t>
  </si>
  <si>
    <t>ERROR!!!! PLEASE CHECK" NP9 CLO , NP9 LUMP AND NP FINE CUMMULATIVE" WITH " MONTHLY NP 2 CUMMULATIVE",DATA DOES NOT MATCH .</t>
  </si>
  <si>
    <t>ERROR!!!!  DATA MATCH NHI HO RHA H ..." NP2 CUMMULATIVE "KE SATH " NP9 CLO , NP9 LUMP &amp; NP FINE CUMMULATIVE " CHECK KAREN I</t>
  </si>
  <si>
    <t>ERROR!!!! PLEASE CHECK  "D/L CLO  &amp;  S/L CLO  CUMMULATIVE " WITH " MONTHLY CLO CUMMULATIVE",DATA DOES NOT MATCH .</t>
  </si>
  <si>
    <t xml:space="preserve">ERROR!!!! DATA MATCH NHI HO RHA HAI… "MONTHALY CLO CUMMULATIVE" KE SATH " D/L CLO  &amp;  S/L CLO  CUMMULATIVE " CHECK KAREN I </t>
  </si>
  <si>
    <t>ERROR!!!! PLEASE CHECK " D/L LUMP  &amp;  S/L LUMP  CUMMULATIVE " WITH  "MONTHLY LUMP CUMMULATIVE",DATA DOES NOT MATCH .</t>
  </si>
  <si>
    <t xml:space="preserve">ERROR!!!! DATA MATCH NHI HO RHA HAI… "MONTHALY LUMP CUMMULATIVE" KE SATH " D/L LUMP  &amp;  S/L LUMP  CUMMULATIVE " CHECK KAREN I </t>
  </si>
  <si>
    <t>ERROR!!!! PLEASE CHECK "FOD, D/L FINES  &amp;  S/L FINE  CUMMULATIVE" WITH " MONTHLY FINES CUMMULATIVE",DATA DOES NOT MATCH .</t>
  </si>
  <si>
    <t xml:space="preserve">ERROR!!!! DATA MATCH NHI HO RHA HAI… "MONTHALY FINE CUMMULATIVE" KE SATH "  FOD,D/L FINES  &amp;  S/L FINES  CUMMULATIVE " CHECK KAREN I </t>
  </si>
  <si>
    <t>ITEMS</t>
  </si>
  <si>
    <t>C41</t>
  </si>
  <si>
    <t>C43</t>
  </si>
  <si>
    <t>CNP1</t>
  </si>
  <si>
    <t>C78</t>
  </si>
  <si>
    <t>C614</t>
  </si>
  <si>
    <t>C618</t>
  </si>
  <si>
    <t>INTIAL READ.</t>
  </si>
  <si>
    <t>41 AS LUMP</t>
  </si>
  <si>
    <t>43 CLO</t>
  </si>
  <si>
    <t>78</t>
  </si>
  <si>
    <t>SLIME %</t>
  </si>
  <si>
    <t>ERROR</t>
  </si>
  <si>
    <t>NO OF LINE</t>
  </si>
  <si>
    <t xml:space="preserve">DAILY </t>
  </si>
  <si>
    <t>PRE CUM</t>
  </si>
  <si>
    <t>CUMMU.</t>
  </si>
  <si>
    <t>ROM DAILY</t>
  </si>
  <si>
    <t>LP Stop</t>
  </si>
  <si>
    <t>SP Stop</t>
  </si>
  <si>
    <t>Effective Hrs</t>
  </si>
  <si>
    <t>SLIME DAILY</t>
  </si>
  <si>
    <t>1st_SHIFT</t>
  </si>
  <si>
    <t>LUMP DAILY</t>
  </si>
  <si>
    <t>2nd_SHIFT</t>
  </si>
  <si>
    <t>CLO DAILY</t>
  </si>
  <si>
    <t>3rd_SHIFT</t>
  </si>
  <si>
    <t>FINES DAILY</t>
  </si>
  <si>
    <t>FOR DAILY</t>
  </si>
  <si>
    <t>FOD DAILY</t>
  </si>
  <si>
    <t>MAINUAL CORRECTION FOR  DAILY PRODUCTION</t>
  </si>
  <si>
    <t>PREVIOUS DAY  PRODUCTION</t>
  </si>
  <si>
    <t>Remain Days -</t>
  </si>
  <si>
    <t>Target (MONTH) -</t>
  </si>
  <si>
    <t>Achived ROM -</t>
  </si>
  <si>
    <t>Balance ROM -</t>
  </si>
  <si>
    <t>Day Target ROM -</t>
  </si>
  <si>
    <t>Name</t>
  </si>
  <si>
    <t>Wapp Number</t>
  </si>
  <si>
    <t>Skip</t>
  </si>
  <si>
    <t>Report will generate after midnight, only yellow is editable                                                                           Click on copy button and open whatsApp and past as  plain text</t>
  </si>
  <si>
    <t>Rahul Patel sir</t>
  </si>
  <si>
    <t>+919755441702</t>
  </si>
  <si>
    <t>Yes</t>
  </si>
  <si>
    <t>satya N. sir</t>
  </si>
  <si>
    <t>+919448074624</t>
  </si>
  <si>
    <t>NK Sahu</t>
  </si>
  <si>
    <t>+918602862867</t>
  </si>
  <si>
    <t xml:space="preserve">             1st     2nd      3d</t>
  </si>
  <si>
    <t>poshan</t>
  </si>
  <si>
    <t>+919406420917</t>
  </si>
  <si>
    <t>No</t>
  </si>
  <si>
    <t xml:space="preserve">SLIME </t>
  </si>
  <si>
    <t>LUMP</t>
  </si>
  <si>
    <t xml:space="preserve">CLO </t>
  </si>
  <si>
    <t>FINES</t>
  </si>
  <si>
    <t xml:space="preserve">FOR </t>
  </si>
  <si>
    <t>Day Total</t>
  </si>
  <si>
    <t>1st Shift Stoppages:-</t>
  </si>
  <si>
    <t>Hr</t>
  </si>
  <si>
    <t>REASON</t>
  </si>
  <si>
    <t>L/P-stopped-</t>
  </si>
  <si>
    <t>S/P-stopped-</t>
  </si>
  <si>
    <t>Effective Hrs-</t>
  </si>
  <si>
    <t>2nd Shift Stoppages:-</t>
  </si>
  <si>
    <t>Cumulative</t>
  </si>
  <si>
    <t>3rd Shift Stoppages:-</t>
  </si>
  <si>
    <t>1st Shift Stoppages: -</t>
  </si>
  <si>
    <t>2nd Shift Stoppages: -</t>
  </si>
  <si>
    <t>3rd Shift Stoppages: -</t>
  </si>
  <si>
    <t>TOTAL STOPPAGE</t>
  </si>
  <si>
    <t>ABC</t>
  </si>
  <si>
    <t>PLANT</t>
  </si>
  <si>
    <t>SP5</t>
  </si>
  <si>
    <t>E</t>
  </si>
  <si>
    <t>Material</t>
  </si>
  <si>
    <t>CLO</t>
  </si>
  <si>
    <t>Shift</t>
  </si>
  <si>
    <t>1st_Shift</t>
  </si>
  <si>
    <t>2nd_Shift</t>
  </si>
  <si>
    <t>3rd_shift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</si>
</sst>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3">
    <numFmt numFmtId="164" formatCode="[$-409]d\-mmm\-yy"/>
    <numFmt numFmtId="165" formatCode="h:mm\ A/P"/>
    <numFmt numFmtId="166" formatCode="#,##0;&quot;0&quot;"/>
    <numFmt numFmtId="167" formatCode="h:mm\ "/>
    <numFmt numFmtId="168" formatCode="h:mmAM/PM"/>
    <numFmt numFmtId="169" formatCode="hh:mm\ AM/PM"/>
    <numFmt numFmtId="170" formatCode="d/m/yyyy"/>
    <numFmt numFmtId="171" formatCode="[$-14009]dd/mm/yy"/>
    <numFmt numFmtId="172" formatCode="[$-14009]d/m/yyyy"/>
    <numFmt numFmtId="173" formatCode="D/M/YYYY"/>
    <numFmt numFmtId="174" formatCode="[$-F400]h:mm:ss\ AM/PM"/>
    <numFmt numFmtId="175" formatCode="[$-14009]hh:mm"/>
    <numFmt numFmtId="176" formatCode="[$-14009]dd\-mm\-yyyy"/>
  </numFmts>
  <fonts count="73">
    <font>
      <sz val="11.0"/>
      <color theme="1"/>
      <name val="Arial"/>
      <scheme val="minor"/>
    </font>
    <font>
      <b/>
      <sz val="11.0"/>
      <color theme="1"/>
      <name val="Arial"/>
    </font>
    <font/>
    <font>
      <b/>
      <sz val="14.0"/>
      <color theme="1"/>
      <name val="Calibri"/>
    </font>
    <font>
      <sz val="11.0"/>
      <color theme="1"/>
      <name val="Calibri"/>
    </font>
    <font>
      <sz val="11.0"/>
      <color theme="1"/>
      <name val="Cambria"/>
    </font>
    <font>
      <sz val="11.0"/>
      <color theme="0"/>
      <name val="Calibri"/>
    </font>
    <font>
      <b/>
      <sz val="15.0"/>
      <color rgb="FF1F497D"/>
      <name val="Calibri"/>
    </font>
    <font>
      <sz val="11.0"/>
      <color rgb="FF5F497A"/>
      <name val="Calibri"/>
    </font>
    <font>
      <sz val="9.0"/>
      <color rgb="FF76923C"/>
      <name val="Cambria"/>
    </font>
    <font>
      <sz val="8.0"/>
      <color rgb="FF5F497A"/>
      <name val="Calibri"/>
    </font>
    <font>
      <sz val="8.0"/>
      <color theme="1"/>
      <name val="Calibri"/>
    </font>
    <font>
      <sz val="10.0"/>
      <color theme="1"/>
      <name val="Cambria"/>
    </font>
    <font>
      <sz val="9.0"/>
      <color theme="1"/>
      <name val="Arial Rounded"/>
    </font>
    <font>
      <sz val="11.0"/>
      <color theme="1"/>
      <name val="Arial"/>
    </font>
    <font>
      <sz val="8.0"/>
      <color rgb="FF76923C"/>
      <name val="Calibri"/>
    </font>
    <font>
      <sz val="10.0"/>
      <color rgb="FF242729"/>
      <name val="Consolas"/>
    </font>
    <font>
      <sz val="8.0"/>
      <color rgb="FFFFFFFF"/>
      <name val="Calibri"/>
    </font>
    <font>
      <b/>
      <sz val="9.0"/>
      <color theme="1"/>
      <name val="Arial Rounded"/>
    </font>
    <font>
      <b/>
      <sz val="11.0"/>
      <color theme="1"/>
      <name val="Calibri"/>
    </font>
    <font>
      <sz val="12.0"/>
      <color theme="1"/>
      <name val="Cambria"/>
    </font>
    <font>
      <sz val="12.0"/>
      <color rgb="FFFFFF00"/>
      <name val="Cambria"/>
    </font>
    <font>
      <sz val="10.0"/>
      <color rgb="FF953734"/>
      <name val="Cambria"/>
    </font>
    <font>
      <sz val="12.0"/>
      <color rgb="FF1F497D"/>
      <name val="Arial Rounded"/>
    </font>
    <font>
      <b/>
      <sz val="7.0"/>
      <color theme="1"/>
      <name val="Arial Narrow"/>
    </font>
    <font>
      <b/>
      <sz val="8.0"/>
      <color theme="1"/>
      <name val="Arial Narrow"/>
    </font>
    <font>
      <sz val="12.0"/>
      <color theme="1"/>
      <name val="Arial Rounded"/>
    </font>
    <font>
      <b/>
      <sz val="12.0"/>
      <color theme="1"/>
      <name val="Calibri"/>
    </font>
    <font>
      <sz val="12.0"/>
      <color theme="1"/>
      <name val="Calibri"/>
    </font>
    <font>
      <b/>
      <sz val="12.0"/>
      <color rgb="FFFF0000"/>
      <name val="Calibri"/>
    </font>
    <font>
      <sz val="12.0"/>
      <color theme="1"/>
      <name val="Arial"/>
    </font>
    <font>
      <sz val="12.0"/>
      <color rgb="FFFF0000"/>
      <name val="Arial"/>
    </font>
    <font>
      <sz val="12.0"/>
      <color rgb="FFFF0000"/>
      <name val="Calibri"/>
    </font>
    <font>
      <b/>
      <sz val="10.0"/>
      <color rgb="FFFF0000"/>
      <name val="Arial"/>
    </font>
    <font>
      <b/>
      <sz val="10.0"/>
      <color rgb="FFFF0000"/>
      <name val="Calibri"/>
    </font>
    <font>
      <b/>
      <sz val="12.0"/>
      <color rgb="FF339966"/>
      <name val="Calibri"/>
    </font>
    <font>
      <sz val="12.0"/>
      <color theme="0"/>
      <name val="Calibri"/>
    </font>
    <font>
      <sz val="11.0"/>
      <color theme="1"/>
      <name val="Arial Rounded"/>
    </font>
    <font>
      <b/>
      <sz val="12.0"/>
      <color theme="1"/>
      <name val="Arial Rounded"/>
    </font>
    <font>
      <sz val="12.0"/>
      <color rgb="FFFF0000"/>
      <name val="Arial Rounded"/>
    </font>
    <font>
      <b/>
      <sz val="10.0"/>
      <color theme="0"/>
      <name val="Calibri"/>
    </font>
    <font>
      <sz val="10.0"/>
      <color rgb="FFFF0000"/>
      <name val="Calibri"/>
    </font>
    <font>
      <b/>
      <sz val="8.0"/>
      <color theme="0"/>
      <name val="Calibri"/>
    </font>
    <font>
      <sz val="10.0"/>
      <color theme="1"/>
      <name val="Calibri"/>
    </font>
    <font>
      <b/>
      <sz val="11.0"/>
      <color theme="0"/>
      <name val="Calibri"/>
    </font>
    <font>
      <color theme="1"/>
      <name val="Arial"/>
      <scheme val="minor"/>
    </font>
    <font>
      <b/>
      <sz val="8.0"/>
      <color theme="1"/>
      <name val="Calibri"/>
    </font>
    <font>
      <sz val="10.0"/>
      <color rgb="FF333333"/>
      <name val="Verdana"/>
    </font>
    <font>
      <sz val="11.0"/>
      <color rgb="FF333333"/>
      <name val="Quattrocento Sans"/>
    </font>
    <font>
      <sz val="9.0"/>
      <color theme="1"/>
      <name val="Cambria"/>
    </font>
    <font>
      <b/>
      <sz val="9.0"/>
      <color theme="1"/>
      <name val="Cambria"/>
    </font>
    <font>
      <b/>
      <sz val="9.0"/>
      <color rgb="FFC00000"/>
      <name val="Cambria"/>
    </font>
    <font>
      <b/>
      <sz val="9.0"/>
      <color theme="1"/>
      <name val="Calibri"/>
    </font>
    <font>
      <sz val="8.0"/>
      <color rgb="FFC00000"/>
      <name val="Cambria"/>
    </font>
    <font>
      <sz val="10.0"/>
      <color theme="1"/>
      <name val="Arial Rounded"/>
    </font>
    <font>
      <b/>
      <sz val="8.0"/>
      <color theme="0"/>
      <name val="Cambria"/>
    </font>
    <font>
      <sz val="8.0"/>
      <color theme="1"/>
      <name val="Cambria"/>
    </font>
    <font>
      <sz val="10.0"/>
      <color rgb="FF974806"/>
      <name val="Cambria"/>
    </font>
    <font>
      <b/>
      <sz val="8.0"/>
      <color rgb="FF339966"/>
      <name val="Cambria"/>
    </font>
    <font>
      <sz val="11.0"/>
      <color rgb="FF366092"/>
      <name val="Arial Rounded"/>
    </font>
    <font>
      <b/>
      <sz val="8.0"/>
      <color rgb="FFC00000"/>
      <name val="Cambria"/>
    </font>
    <font>
      <b/>
      <sz val="8.0"/>
      <color theme="1"/>
      <name val="Cambria"/>
    </font>
    <font>
      <b/>
      <sz val="8.0"/>
      <color rgb="FF7030A0"/>
      <name val="Cambria"/>
    </font>
    <font>
      <sz val="10.0"/>
      <color rgb="FF366092"/>
      <name val="Calibri"/>
    </font>
    <font>
      <b/>
      <sz val="9.0"/>
      <color rgb="FF7030A0"/>
      <name val="Calibri"/>
    </font>
    <font>
      <b/>
      <sz val="9.0"/>
      <color rgb="FF002060"/>
      <name val="Calibri"/>
    </font>
    <font>
      <b/>
      <sz val="9.0"/>
      <color rgb="FFFF0000"/>
      <name val="Calibri"/>
    </font>
    <font>
      <b/>
      <sz val="8.0"/>
      <color rgb="FF002060"/>
      <name val="Calibri"/>
    </font>
    <font>
      <sz val="7.0"/>
      <color theme="1"/>
      <name val="Calibri"/>
    </font>
    <font>
      <b/>
      <sz val="8.0"/>
      <color rgb="FFFFFFCC"/>
      <name val="Calibri"/>
    </font>
    <font>
      <sz val="9.0"/>
      <color theme="1"/>
      <name val="Calibri"/>
    </font>
    <font>
      <sz val="9.0"/>
      <color rgb="FF006100"/>
      <name val="Calibri"/>
    </font>
    <font>
      <b/>
      <sz val="11.0"/>
      <color rgb="FFE36C09"/>
      <name val="Calibri"/>
    </font>
  </fonts>
  <fills count="33">
    <fill>
      <patternFill patternType="none"/>
    </fill>
    <fill>
      <patternFill patternType="lightGray"/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FABF8F"/>
        <bgColor rgb="FFFABF8F"/>
      </patternFill>
    </fill>
    <fill>
      <patternFill patternType="solid">
        <fgColor rgb="FFE5E5E5"/>
        <bgColor rgb="FFE5E5E5"/>
      </patternFill>
    </fill>
    <fill>
      <patternFill patternType="solid">
        <fgColor theme="0"/>
        <bgColor theme="0"/>
      </patternFill>
    </fill>
    <fill>
      <patternFill patternType="solid">
        <fgColor rgb="FFC2D69B"/>
        <bgColor rgb="FFC2D69B"/>
      </patternFill>
    </fill>
    <fill>
      <patternFill patternType="solid">
        <fgColor rgb="FF92D050"/>
        <bgColor rgb="FF92D050"/>
      </patternFill>
    </fill>
    <fill>
      <patternFill patternType="solid">
        <fgColor rgb="FFEAF1DD"/>
        <bgColor rgb="FFEAF1DD"/>
      </patternFill>
    </fill>
    <fill>
      <patternFill patternType="solid">
        <fgColor rgb="FFD6E3BC"/>
        <bgColor rgb="FFD6E3BC"/>
      </patternFill>
    </fill>
    <fill>
      <patternFill patternType="solid">
        <fgColor rgb="FFFFD247"/>
        <bgColor rgb="FFFFD247"/>
      </patternFill>
    </fill>
    <fill>
      <patternFill patternType="solid">
        <fgColor theme="6"/>
        <bgColor theme="6"/>
      </patternFill>
    </fill>
    <fill>
      <patternFill patternType="solid">
        <fgColor theme="9"/>
        <bgColor theme="9"/>
      </patternFill>
    </fill>
    <fill>
      <patternFill patternType="solid">
        <fgColor rgb="FFFBD4B4"/>
        <bgColor rgb="FFFBD4B4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B6DDE8"/>
        <bgColor rgb="FFB6DDE8"/>
      </patternFill>
    </fill>
    <fill>
      <patternFill patternType="solid">
        <fgColor rgb="FFF2DBDB"/>
        <bgColor rgb="FFF2DBDB"/>
      </patternFill>
    </fill>
    <fill>
      <patternFill patternType="solid">
        <fgColor rgb="FFB8CCE4"/>
        <bgColor rgb="FFB8CCE4"/>
      </patternFill>
    </fill>
    <fill>
      <patternFill patternType="solid">
        <fgColor theme="1"/>
        <bgColor theme="1"/>
      </patternFill>
    </fill>
    <fill>
      <patternFill patternType="solid">
        <fgColor rgb="FFFFEEB7"/>
        <bgColor rgb="FFFFEEB7"/>
      </patternFill>
    </fill>
    <fill>
      <patternFill patternType="solid">
        <fgColor rgb="FF8DB3E2"/>
        <bgColor rgb="FF8DB3E2"/>
      </patternFill>
    </fill>
    <fill>
      <patternFill patternType="solid">
        <fgColor rgb="FFFFFFCC"/>
        <bgColor rgb="FFFFFFCC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002060"/>
        <bgColor rgb="FF002060"/>
      </patternFill>
    </fill>
    <fill>
      <patternFill patternType="solid">
        <fgColor rgb="FFBFBFBF"/>
        <bgColor rgb="FFBFBFBF"/>
      </patternFill>
    </fill>
  </fills>
  <borders count="147">
    <border/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/>
      <top/>
      <bottom/>
    </border>
    <border>
      <left style="thin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/>
      <right/>
      <top style="thin">
        <color rgb="FF000000"/>
      </top>
      <bottom/>
    </border>
    <border>
      <top style="thin">
        <color rgb="FF000000"/>
      </top>
    </border>
    <border>
      <left/>
      <right style="thin">
        <color rgb="FF000000"/>
      </right>
      <top style="thin">
        <color rgb="FF000000"/>
      </top>
      <bottom/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  <bottom style="medium">
        <color rgb="FF000000"/>
      </bottom>
    </border>
    <border>
      <left/>
      <top style="medium">
        <color rgb="FF000000"/>
      </top>
      <bottom/>
    </border>
    <border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thin">
        <color rgb="FF000000"/>
      </right>
    </border>
    <border>
      <left style="medium">
        <color rgb="FF000000"/>
      </left>
      <right/>
      <top/>
      <bottom/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 style="thin">
        <color theme="8"/>
      </top>
      <bottom/>
    </border>
    <border>
      <left style="medium">
        <color rgb="FF000000"/>
      </left>
      <right style="medium">
        <color rgb="FF000000"/>
      </right>
      <top style="thin">
        <color theme="8"/>
      </top>
      <bottom/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/>
      <top style="medium">
        <color rgb="FF000000"/>
      </top>
      <bottom/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/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medium">
        <color rgb="FF000000"/>
      </right>
      <top style="thin">
        <color rgb="FF000000"/>
      </top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top style="medium">
        <color rgb="FF000000"/>
      </top>
    </border>
    <border>
      <right/>
      <top style="thin">
        <color rgb="FF000000"/>
      </top>
      <bottom style="medium">
        <color rgb="FF000000"/>
      </bottom>
    </border>
    <border>
      <left/>
      <top style="medium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/>
      <top style="medium">
        <color rgb="FF000000"/>
      </top>
      <bottom style="thin">
        <color rgb="FF000000"/>
      </bottom>
    </border>
    <border>
      <left/>
      <right/>
      <top style="medium">
        <color rgb="FF000000"/>
      </top>
      <bottom style="thin">
        <color rgb="FF000000"/>
      </bottom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/>
      <top style="thin">
        <color rgb="FF000000"/>
      </top>
      <bottom style="medium">
        <color rgb="FF000000"/>
      </bottom>
    </border>
    <border>
      <left/>
      <right/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left style="medium">
        <color rgb="FF000000"/>
      </lef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top style="thin">
        <color rgb="FF000000"/>
      </top>
      <bottom style="medium">
        <color rgb="FF000000"/>
      </bottom>
    </border>
    <border>
      <left style="thin">
        <color theme="6"/>
      </left>
      <right/>
      <top style="medium">
        <color rgb="FF000000"/>
      </top>
      <bottom/>
    </border>
    <border>
      <left style="thin">
        <color theme="6"/>
      </left>
      <right style="medium">
        <color rgb="FF000000"/>
      </right>
      <top style="medium">
        <color rgb="FF000000"/>
      </top>
      <bottom/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medium">
        <color rgb="FF000000"/>
      </bottom>
    </border>
    <border>
      <left/>
      <right/>
      <top/>
      <bottom style="thin">
        <color theme="0"/>
      </bottom>
    </border>
    <border>
      <left/>
      <right style="thin">
        <color theme="0"/>
      </right>
      <top/>
      <bottom/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/>
      <top/>
      <bottom style="medium">
        <color rgb="FF000000"/>
      </bottom>
    </border>
    <border>
      <right/>
      <top/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right style="medium">
        <color rgb="FF000000"/>
      </right>
    </border>
    <border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theme="0"/>
      </right>
      <top style="medium">
        <color rgb="FF000000"/>
      </top>
      <bottom/>
    </border>
    <border>
      <left style="thin">
        <color rgb="FF000000"/>
      </left>
      <top style="medium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/>
      <top style="thin">
        <color theme="0"/>
      </top>
      <bottom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theme="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right style="medium">
        <color rgb="FF000000"/>
      </right>
      <top/>
      <bottom/>
    </border>
    <border>
      <left style="medium">
        <color rgb="FF000000"/>
      </left>
      <top/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/>
      <bottom/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top style="medium">
        <color rgb="FF000000"/>
      </top>
      <bottom/>
    </border>
    <border>
      <left style="thin">
        <color theme="6"/>
      </left>
      <top style="medium">
        <color rgb="FF000000"/>
      </top>
    </border>
    <border>
      <left/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/>
      <top/>
      <bottom/>
    </border>
    <border>
      <right/>
      <top/>
      <bottom/>
    </border>
  </borders>
  <cellStyleXfs count="1">
    <xf borderId="0" fillId="0" fontId="0" numFmtId="0" applyAlignment="1" applyFont="1"/>
  </cellStyleXfs>
  <cellXfs count="69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3" fontId="1" numFmtId="164" xfId="0" applyAlignment="1" applyBorder="1" applyFill="1" applyFont="1" applyNumberFormat="1">
      <alignment horizontal="center" vertical="center"/>
    </xf>
    <xf borderId="3" fillId="0" fontId="2" numFmtId="0" xfId="0" applyBorder="1" applyFont="1"/>
    <xf borderId="4" fillId="0" fontId="2" numFmtId="0" xfId="0" applyBorder="1" applyFont="1"/>
    <xf borderId="5" fillId="2" fontId="1" numFmtId="0" xfId="0" applyAlignment="1" applyBorder="1" applyFont="1">
      <alignment horizontal="center" vertical="center"/>
    </xf>
    <xf borderId="6" fillId="2" fontId="1" numFmtId="0" xfId="0" applyAlignment="1" applyBorder="1" applyFont="1">
      <alignment horizontal="center" vertical="center"/>
    </xf>
    <xf borderId="7" fillId="2" fontId="1" numFmtId="0" xfId="0" applyAlignment="1" applyBorder="1" applyFont="1">
      <alignment horizontal="center" vertical="center"/>
    </xf>
    <xf borderId="6" fillId="4" fontId="1" numFmtId="1" xfId="0" applyAlignment="1" applyBorder="1" applyFill="1" applyFont="1" applyNumberFormat="1">
      <alignment horizontal="center" vertical="center"/>
    </xf>
    <xf borderId="6" fillId="4" fontId="1" numFmtId="0" xfId="0" applyAlignment="1" applyBorder="1" applyFont="1">
      <alignment horizontal="center" vertical="center"/>
    </xf>
    <xf borderId="7" fillId="4" fontId="1" numFmtId="1" xfId="0" applyAlignment="1" applyBorder="1" applyFont="1" applyNumberFormat="1">
      <alignment horizontal="center" vertical="center"/>
    </xf>
    <xf borderId="8" fillId="5" fontId="1" numFmtId="0" xfId="0" applyAlignment="1" applyBorder="1" applyFill="1" applyFont="1">
      <alignment horizontal="center" vertical="center"/>
    </xf>
    <xf borderId="9" fillId="0" fontId="2" numFmtId="0" xfId="0" applyBorder="1" applyFont="1"/>
    <xf borderId="6" fillId="3" fontId="1" numFmtId="1" xfId="0" applyAlignment="1" applyBorder="1" applyFont="1" applyNumberFormat="1">
      <alignment horizontal="center" vertical="center"/>
    </xf>
    <xf borderId="7" fillId="3" fontId="1" numFmtId="0" xfId="0" applyAlignment="1" applyBorder="1" applyFont="1">
      <alignment horizontal="center" vertical="center"/>
    </xf>
    <xf borderId="10" fillId="3" fontId="1" numFmtId="1" xfId="0" applyAlignment="1" applyBorder="1" applyFont="1" applyNumberFormat="1">
      <alignment horizontal="center" vertical="center"/>
    </xf>
    <xf borderId="11" fillId="0" fontId="2" numFmtId="0" xfId="0" applyBorder="1" applyFont="1"/>
    <xf borderId="8" fillId="6" fontId="1" numFmtId="0" xfId="0" applyAlignment="1" applyBorder="1" applyFill="1" applyFont="1">
      <alignment horizontal="center" vertical="center"/>
    </xf>
    <xf borderId="10" fillId="7" fontId="1" numFmtId="0" xfId="0" applyAlignment="1" applyBorder="1" applyFill="1" applyFont="1">
      <alignment horizontal="center" vertical="center"/>
    </xf>
    <xf borderId="12" fillId="6" fontId="1" numFmtId="0" xfId="0" applyAlignment="1" applyBorder="1" applyFont="1">
      <alignment horizontal="center" vertical="center"/>
    </xf>
    <xf borderId="13" fillId="0" fontId="2" numFmtId="0" xfId="0" applyBorder="1" applyFont="1"/>
    <xf borderId="14" fillId="7" fontId="1" numFmtId="1" xfId="0" applyAlignment="1" applyBorder="1" applyFont="1" applyNumberFormat="1">
      <alignment horizontal="center" vertical="center"/>
    </xf>
    <xf borderId="15" fillId="0" fontId="2" numFmtId="0" xfId="0" applyBorder="1" applyFont="1"/>
    <xf borderId="16" fillId="0" fontId="3" numFmtId="0" xfId="0" applyAlignment="1" applyBorder="1" applyFont="1">
      <alignment horizontal="center" shrinkToFit="0" vertical="center" wrapText="1"/>
    </xf>
    <xf borderId="17" fillId="0" fontId="2" numFmtId="0" xfId="0" applyBorder="1" applyFont="1"/>
    <xf borderId="18" fillId="0" fontId="2" numFmtId="0" xfId="0" applyBorder="1" applyFont="1"/>
    <xf borderId="0" fillId="0" fontId="4" numFmtId="0" xfId="0" applyFont="1"/>
    <xf borderId="19" fillId="8" fontId="4" numFmtId="0" xfId="0" applyBorder="1" applyFill="1" applyFont="1"/>
    <xf borderId="1" fillId="9" fontId="5" numFmtId="0" xfId="0" applyAlignment="1" applyBorder="1" applyFill="1" applyFont="1">
      <alignment horizontal="left"/>
    </xf>
    <xf borderId="20" fillId="9" fontId="5" numFmtId="0" xfId="0" applyAlignment="1" applyBorder="1" applyFont="1">
      <alignment horizontal="center"/>
    </xf>
    <xf borderId="21" fillId="0" fontId="2" numFmtId="0" xfId="0" applyBorder="1" applyFont="1"/>
    <xf borderId="0" fillId="0" fontId="4" numFmtId="165" xfId="0" applyFont="1" applyNumberFormat="1"/>
    <xf borderId="0" fillId="0" fontId="4" numFmtId="0" xfId="0" applyAlignment="1" applyFont="1">
      <alignment horizontal="left"/>
    </xf>
    <xf borderId="0" fillId="0" fontId="6" numFmtId="0" xfId="0" applyFont="1"/>
    <xf borderId="19" fillId="8" fontId="6" numFmtId="0" xfId="0" applyBorder="1" applyFont="1"/>
    <xf borderId="22" fillId="3" fontId="7" numFmtId="0" xfId="0" applyBorder="1" applyFont="1"/>
    <xf borderId="23" fillId="3" fontId="4" numFmtId="0" xfId="0" applyBorder="1" applyFont="1"/>
    <xf borderId="24" fillId="3" fontId="4" numFmtId="0" xfId="0" applyBorder="1" applyFont="1"/>
    <xf borderId="25" fillId="9" fontId="5" numFmtId="0" xfId="0" applyAlignment="1" applyBorder="1" applyFont="1">
      <alignment horizontal="left"/>
    </xf>
    <xf borderId="26" fillId="9" fontId="5" numFmtId="15" xfId="0" applyAlignment="1" applyBorder="1" applyFont="1" applyNumberFormat="1">
      <alignment horizontal="center"/>
    </xf>
    <xf borderId="0" fillId="0" fontId="4" numFmtId="18" xfId="0" applyFont="1" applyNumberFormat="1"/>
    <xf borderId="0" fillId="0" fontId="4" numFmtId="20" xfId="0" applyFont="1" applyNumberFormat="1"/>
    <xf borderId="19" fillId="10" fontId="4" numFmtId="0" xfId="0" applyBorder="1" applyFill="1" applyFont="1"/>
    <xf borderId="19" fillId="10" fontId="4" numFmtId="165" xfId="0" applyBorder="1" applyFont="1" applyNumberFormat="1"/>
    <xf borderId="19" fillId="5" fontId="4" numFmtId="165" xfId="0" applyBorder="1" applyFont="1" applyNumberFormat="1"/>
    <xf borderId="19" fillId="5" fontId="4" numFmtId="20" xfId="0" applyBorder="1" applyFont="1" applyNumberFormat="1"/>
    <xf borderId="19" fillId="10" fontId="4" numFmtId="20" xfId="0" applyBorder="1" applyFont="1" applyNumberFormat="1"/>
    <xf borderId="19" fillId="5" fontId="4" numFmtId="0" xfId="0" applyBorder="1" applyFont="1"/>
    <xf borderId="0" fillId="0" fontId="4" numFmtId="166" xfId="0" applyFont="1" applyNumberFormat="1"/>
    <xf borderId="0" fillId="0" fontId="4" numFmtId="167" xfId="0" applyFont="1" applyNumberFormat="1"/>
    <xf borderId="0" fillId="0" fontId="4" numFmtId="18" xfId="0" applyAlignment="1" applyFont="1" applyNumberFormat="1">
      <alignment horizontal="right"/>
    </xf>
    <xf borderId="16" fillId="0" fontId="4" numFmtId="0" xfId="0" applyBorder="1" applyFont="1"/>
    <xf borderId="18" fillId="0" fontId="4" numFmtId="0" xfId="0" applyBorder="1" applyFont="1"/>
    <xf borderId="17" fillId="0" fontId="4" numFmtId="0" xfId="0" applyBorder="1" applyFont="1"/>
    <xf borderId="6" fillId="0" fontId="4" numFmtId="0" xfId="0" applyBorder="1" applyFont="1"/>
    <xf borderId="10" fillId="0" fontId="4" numFmtId="0" xfId="0" applyBorder="1" applyFont="1"/>
    <xf borderId="6" fillId="10" fontId="4" numFmtId="0" xfId="0" applyBorder="1" applyFont="1"/>
    <xf borderId="6" fillId="10" fontId="4" numFmtId="165" xfId="0" applyBorder="1" applyFont="1" applyNumberFormat="1"/>
    <xf borderId="6" fillId="5" fontId="4" numFmtId="165" xfId="0" applyBorder="1" applyFont="1" applyNumberFormat="1"/>
    <xf borderId="6" fillId="5" fontId="4" numFmtId="0" xfId="0" applyBorder="1" applyFont="1"/>
    <xf borderId="27" fillId="5" fontId="4" numFmtId="0" xfId="0" applyBorder="1" applyFont="1"/>
    <xf borderId="28" fillId="10" fontId="4" numFmtId="0" xfId="0" applyBorder="1" applyFont="1"/>
    <xf borderId="29" fillId="0" fontId="4" numFmtId="0" xfId="0" applyBorder="1" applyFont="1"/>
    <xf borderId="30" fillId="10" fontId="4" numFmtId="20" xfId="0" applyAlignment="1" applyBorder="1" applyFont="1" applyNumberFormat="1">
      <alignment horizontal="left"/>
    </xf>
    <xf borderId="31" fillId="0" fontId="4" numFmtId="0" xfId="0" applyBorder="1" applyFont="1"/>
    <xf borderId="30" fillId="10" fontId="4" numFmtId="20" xfId="0" applyBorder="1" applyFont="1" applyNumberFormat="1"/>
    <xf borderId="32" fillId="10" fontId="4" numFmtId="20" xfId="0" applyBorder="1" applyFont="1" applyNumberFormat="1"/>
    <xf borderId="33" fillId="5" fontId="5" numFmtId="0" xfId="0" applyBorder="1" applyFont="1"/>
    <xf borderId="33" fillId="5" fontId="5" numFmtId="0" xfId="0" applyAlignment="1" applyBorder="1" applyFont="1">
      <alignment horizontal="center"/>
    </xf>
    <xf borderId="34" fillId="5" fontId="5" numFmtId="0" xfId="0" applyAlignment="1" applyBorder="1" applyFont="1">
      <alignment horizontal="center"/>
    </xf>
    <xf borderId="16" fillId="5" fontId="5" numFmtId="0" xfId="0" applyAlignment="1" applyBorder="1" applyFont="1">
      <alignment horizontal="center" vertical="center"/>
    </xf>
    <xf borderId="35" fillId="5" fontId="5" numFmtId="0" xfId="0" applyAlignment="1" applyBorder="1" applyFont="1">
      <alignment horizontal="center" vertical="center"/>
    </xf>
    <xf borderId="36" fillId="5" fontId="5" numFmtId="0" xfId="0" applyAlignment="1" applyBorder="1" applyFont="1">
      <alignment horizontal="center" vertical="center"/>
    </xf>
    <xf borderId="37" fillId="0" fontId="2" numFmtId="0" xfId="0" applyBorder="1" applyFont="1"/>
    <xf borderId="33" fillId="5" fontId="5" numFmtId="0" xfId="0" applyAlignment="1" applyBorder="1" applyFont="1">
      <alignment horizontal="center" vertical="center"/>
    </xf>
    <xf borderId="34" fillId="5" fontId="5" numFmtId="0" xfId="0" applyBorder="1" applyFont="1"/>
    <xf borderId="38" fillId="5" fontId="5" numFmtId="0" xfId="0" applyAlignment="1" applyBorder="1" applyFont="1">
      <alignment horizontal="center" vertical="center"/>
    </xf>
    <xf borderId="0" fillId="0" fontId="8" numFmtId="0" xfId="0" applyFont="1"/>
    <xf borderId="6" fillId="0" fontId="4" numFmtId="18" xfId="0" applyBorder="1" applyFont="1" applyNumberFormat="1"/>
    <xf borderId="39" fillId="3" fontId="4" numFmtId="0" xfId="0" applyBorder="1" applyFont="1"/>
    <xf borderId="0" fillId="0" fontId="4" numFmtId="165" xfId="0" applyAlignment="1" applyFont="1" applyNumberFormat="1">
      <alignment horizontal="right"/>
    </xf>
    <xf borderId="39" fillId="3" fontId="4" numFmtId="165" xfId="0" applyBorder="1" applyFont="1" applyNumberFormat="1"/>
    <xf borderId="40" fillId="0" fontId="4" numFmtId="165" xfId="0" applyBorder="1" applyFont="1" applyNumberFormat="1"/>
    <xf borderId="41" fillId="0" fontId="4" numFmtId="0" xfId="0" applyBorder="1" applyFont="1"/>
    <xf borderId="42" fillId="0" fontId="4" numFmtId="0" xfId="0" applyAlignment="1" applyBorder="1" applyFont="1">
      <alignment horizontal="left"/>
    </xf>
    <xf borderId="43" fillId="0" fontId="4" numFmtId="0" xfId="0" applyBorder="1" applyFont="1"/>
    <xf borderId="44" fillId="11" fontId="9" numFmtId="0" xfId="0" applyAlignment="1" applyBorder="1" applyFill="1" applyFont="1">
      <alignment horizontal="center"/>
    </xf>
    <xf borderId="44" fillId="11" fontId="9" numFmtId="0" xfId="0" applyAlignment="1" applyBorder="1" applyFont="1">
      <alignment vertical="center"/>
    </xf>
    <xf borderId="45" fillId="11" fontId="9" numFmtId="0" xfId="0" applyAlignment="1" applyBorder="1" applyFont="1">
      <alignment vertical="center"/>
    </xf>
    <xf borderId="19" fillId="11" fontId="9" numFmtId="0" xfId="0" applyAlignment="1" applyBorder="1" applyFont="1">
      <alignment horizontal="center"/>
    </xf>
    <xf borderId="0" fillId="0" fontId="10" numFmtId="167" xfId="0" applyFont="1" applyNumberFormat="1"/>
    <xf borderId="6" fillId="0" fontId="4" numFmtId="167" xfId="0" applyBorder="1" applyFont="1" applyNumberFormat="1"/>
    <xf borderId="6" fillId="0" fontId="11" numFmtId="168" xfId="0" applyBorder="1" applyFont="1" applyNumberFormat="1"/>
    <xf borderId="6" fillId="3" fontId="4" numFmtId="0" xfId="0" applyBorder="1" applyFont="1"/>
    <xf borderId="6" fillId="3" fontId="4" numFmtId="165" xfId="0" applyBorder="1" applyFont="1" applyNumberFormat="1"/>
    <xf borderId="6" fillId="0" fontId="4" numFmtId="165" xfId="0" applyBorder="1" applyFont="1" applyNumberFormat="1"/>
    <xf borderId="33" fillId="9" fontId="12" numFmtId="0" xfId="0" applyAlignment="1" applyBorder="1" applyFont="1">
      <alignment horizontal="center"/>
    </xf>
    <xf borderId="33" fillId="9" fontId="12" numFmtId="0" xfId="0" applyAlignment="1" applyBorder="1" applyFont="1">
      <alignment vertical="center"/>
    </xf>
    <xf borderId="46" fillId="9" fontId="12" numFmtId="0" xfId="0" applyAlignment="1" applyBorder="1" applyFont="1">
      <alignment vertical="center"/>
    </xf>
    <xf borderId="47" fillId="9" fontId="12" numFmtId="0" xfId="0" applyAlignment="1" applyBorder="1" applyFont="1">
      <alignment horizontal="center"/>
    </xf>
    <xf borderId="47" fillId="9" fontId="12" numFmtId="0" xfId="0" applyAlignment="1" applyBorder="1" applyFont="1">
      <alignment vertical="center"/>
    </xf>
    <xf borderId="48" fillId="9" fontId="12" numFmtId="0" xfId="0" applyAlignment="1" applyBorder="1" applyFont="1">
      <alignment vertical="center"/>
    </xf>
    <xf borderId="34" fillId="9" fontId="12" numFmtId="0" xfId="0" applyAlignment="1" applyBorder="1" applyFont="1">
      <alignment horizontal="center"/>
    </xf>
    <xf borderId="10" fillId="0" fontId="4" numFmtId="20" xfId="0" applyBorder="1" applyFont="1" applyNumberFormat="1"/>
    <xf borderId="9" fillId="0" fontId="4" numFmtId="0" xfId="0" applyBorder="1" applyFont="1"/>
    <xf borderId="6" fillId="0" fontId="11" numFmtId="0" xfId="0" applyBorder="1" applyFont="1"/>
    <xf borderId="49" fillId="0" fontId="4" numFmtId="0" xfId="0" applyAlignment="1" applyBorder="1" applyFont="1">
      <alignment horizontal="left"/>
    </xf>
    <xf borderId="5" fillId="0" fontId="13" numFmtId="165" xfId="0" applyAlignment="1" applyBorder="1" applyFont="1" applyNumberFormat="1">
      <alignment horizontal="right"/>
    </xf>
    <xf borderId="6" fillId="0" fontId="13" numFmtId="165" xfId="0" applyAlignment="1" applyBorder="1" applyFont="1" applyNumberFormat="1">
      <alignment horizontal="right"/>
    </xf>
    <xf borderId="7" fillId="0" fontId="13" numFmtId="20" xfId="0" applyAlignment="1" applyBorder="1" applyFont="1" applyNumberFormat="1">
      <alignment horizontal="right"/>
    </xf>
    <xf borderId="9" fillId="0" fontId="13" numFmtId="165" xfId="0" applyAlignment="1" applyBorder="1" applyFont="1" applyNumberFormat="1">
      <alignment horizontal="right"/>
    </xf>
    <xf borderId="6" fillId="12" fontId="13" numFmtId="165" xfId="0" applyBorder="1" applyFill="1" applyFont="1" applyNumberFormat="1"/>
    <xf borderId="50" fillId="0" fontId="4" numFmtId="0" xfId="0" applyAlignment="1" applyBorder="1" applyFont="1">
      <alignment horizontal="left"/>
    </xf>
    <xf borderId="51" fillId="0" fontId="4" numFmtId="0" xfId="0" applyBorder="1" applyFont="1"/>
    <xf borderId="52" fillId="0" fontId="4" numFmtId="0" xfId="0" applyBorder="1" applyFont="1"/>
    <xf borderId="52" fillId="0" fontId="4" numFmtId="0" xfId="0" applyAlignment="1" applyBorder="1" applyFont="1">
      <alignment horizontal="left"/>
    </xf>
    <xf borderId="26" fillId="0" fontId="4" numFmtId="0" xfId="0" applyBorder="1" applyFont="1"/>
    <xf borderId="53" fillId="0" fontId="4" numFmtId="0" xfId="0" applyBorder="1" applyFont="1"/>
    <xf borderId="9" fillId="0" fontId="4" numFmtId="18" xfId="0" applyBorder="1" applyFont="1" applyNumberFormat="1"/>
    <xf borderId="49" fillId="0" fontId="4" numFmtId="18" xfId="0" applyAlignment="1" applyBorder="1" applyFont="1" applyNumberFormat="1">
      <alignment horizontal="left"/>
    </xf>
    <xf borderId="49" fillId="0" fontId="4" numFmtId="20" xfId="0" applyBorder="1" applyFont="1" applyNumberFormat="1"/>
    <xf borderId="49" fillId="0" fontId="4" numFmtId="165" xfId="0" applyAlignment="1" applyBorder="1" applyFont="1" applyNumberFormat="1">
      <alignment horizontal="left"/>
    </xf>
    <xf borderId="54" fillId="0" fontId="4" numFmtId="20" xfId="0" applyBorder="1" applyFont="1" applyNumberFormat="1"/>
    <xf borderId="55" fillId="0" fontId="4" numFmtId="18" xfId="0" applyAlignment="1" applyBorder="1" applyFont="1" applyNumberFormat="1">
      <alignment horizontal="left"/>
    </xf>
    <xf borderId="55" fillId="0" fontId="4" numFmtId="20" xfId="0" applyBorder="1" applyFont="1" applyNumberFormat="1"/>
    <xf borderId="55" fillId="0" fontId="4" numFmtId="165" xfId="0" applyAlignment="1" applyBorder="1" applyFont="1" applyNumberFormat="1">
      <alignment horizontal="left"/>
    </xf>
    <xf borderId="56" fillId="0" fontId="4" numFmtId="20" xfId="0" applyBorder="1" applyFont="1" applyNumberFormat="1"/>
    <xf borderId="0" fillId="0" fontId="4" numFmtId="22" xfId="0" applyFont="1" applyNumberFormat="1"/>
    <xf borderId="7" fillId="13" fontId="13" numFmtId="20" xfId="0" applyAlignment="1" applyBorder="1" applyFill="1" applyFont="1" applyNumberFormat="1">
      <alignment horizontal="right"/>
    </xf>
    <xf borderId="0" fillId="0" fontId="4" numFmtId="168" xfId="0" applyFont="1" applyNumberFormat="1"/>
    <xf borderId="0" fillId="0" fontId="4" numFmtId="169" xfId="0" applyFont="1" applyNumberFormat="1"/>
    <xf borderId="6" fillId="0" fontId="13" numFmtId="20" xfId="0" applyAlignment="1" applyBorder="1" applyFont="1" applyNumberFormat="1">
      <alignment horizontal="right"/>
    </xf>
    <xf borderId="42" fillId="0" fontId="4" numFmtId="22" xfId="0" applyBorder="1" applyFont="1" applyNumberFormat="1"/>
    <xf borderId="57" fillId="0" fontId="4" numFmtId="18" xfId="0" applyAlignment="1" applyBorder="1" applyFont="1" applyNumberFormat="1">
      <alignment horizontal="left"/>
    </xf>
    <xf borderId="58" fillId="0" fontId="13" numFmtId="165" xfId="0" applyAlignment="1" applyBorder="1" applyFont="1" applyNumberFormat="1">
      <alignment horizontal="right"/>
    </xf>
    <xf borderId="41" fillId="0" fontId="13" numFmtId="165" xfId="0" applyAlignment="1" applyBorder="1" applyFont="1" applyNumberFormat="1">
      <alignment horizontal="right"/>
    </xf>
    <xf borderId="59" fillId="0" fontId="13" numFmtId="20" xfId="0" applyAlignment="1" applyBorder="1" applyFont="1" applyNumberFormat="1">
      <alignment horizontal="right"/>
    </xf>
    <xf borderId="0" fillId="0" fontId="13" numFmtId="165" xfId="0" applyAlignment="1" applyFont="1" applyNumberFormat="1">
      <alignment horizontal="right"/>
    </xf>
    <xf borderId="60" fillId="0" fontId="13" numFmtId="165" xfId="0" applyAlignment="1" applyBorder="1" applyFont="1" applyNumberFormat="1">
      <alignment horizontal="right"/>
    </xf>
    <xf borderId="61" fillId="0" fontId="13" numFmtId="165" xfId="0" applyAlignment="1" applyBorder="1" applyFont="1" applyNumberFormat="1">
      <alignment horizontal="right"/>
    </xf>
    <xf borderId="62" fillId="0" fontId="13" numFmtId="20" xfId="0" applyAlignment="1" applyBorder="1" applyFont="1" applyNumberFormat="1">
      <alignment horizontal="right"/>
    </xf>
    <xf borderId="42" fillId="0" fontId="4" numFmtId="0" xfId="0" applyBorder="1" applyFont="1"/>
    <xf borderId="63" fillId="0" fontId="4" numFmtId="167" xfId="0" applyBorder="1" applyFont="1" applyNumberFormat="1"/>
    <xf borderId="64" fillId="0" fontId="4" numFmtId="167" xfId="0" applyBorder="1" applyFont="1" applyNumberFormat="1"/>
    <xf borderId="65" fillId="0" fontId="4" numFmtId="20" xfId="0" applyBorder="1" applyFont="1" applyNumberFormat="1"/>
    <xf borderId="66" fillId="0" fontId="4" numFmtId="167" xfId="0" applyBorder="1" applyFont="1" applyNumberFormat="1"/>
    <xf borderId="67" fillId="0" fontId="4" numFmtId="20" xfId="0" applyBorder="1" applyFont="1" applyNumberFormat="1"/>
    <xf borderId="43" fillId="0" fontId="4" numFmtId="167" xfId="0" applyBorder="1" applyFont="1" applyNumberFormat="1"/>
    <xf borderId="68" fillId="0" fontId="4" numFmtId="167" xfId="0" applyBorder="1" applyFont="1" applyNumberFormat="1"/>
    <xf borderId="41" fillId="0" fontId="4" numFmtId="20" xfId="0" applyBorder="1" applyFont="1" applyNumberFormat="1"/>
    <xf borderId="69" fillId="0" fontId="4" numFmtId="167" xfId="0" applyBorder="1" applyFont="1" applyNumberFormat="1"/>
    <xf borderId="70" fillId="0" fontId="4" numFmtId="167" xfId="0" applyBorder="1" applyFont="1" applyNumberFormat="1"/>
    <xf borderId="71" fillId="0" fontId="4" numFmtId="167" xfId="0" applyBorder="1" applyFont="1" applyNumberFormat="1"/>
    <xf borderId="33" fillId="5" fontId="5" numFmtId="168" xfId="0" applyBorder="1" applyFont="1" applyNumberFormat="1"/>
    <xf borderId="72" fillId="5" fontId="5" numFmtId="168" xfId="0" applyBorder="1" applyFont="1" applyNumberFormat="1"/>
    <xf borderId="34" fillId="5" fontId="5" numFmtId="168" xfId="0" applyBorder="1" applyFont="1" applyNumberFormat="1"/>
    <xf borderId="38" fillId="5" fontId="5" numFmtId="168" xfId="0" applyBorder="1" applyFont="1" applyNumberFormat="1"/>
    <xf borderId="0" fillId="0" fontId="14" numFmtId="0" xfId="0" applyFont="1"/>
    <xf borderId="73" fillId="5" fontId="5" numFmtId="0" xfId="0" applyBorder="1" applyFont="1"/>
    <xf borderId="23" fillId="5" fontId="5" numFmtId="0" xfId="0" applyBorder="1" applyFont="1"/>
    <xf borderId="24" fillId="5" fontId="5" numFmtId="0" xfId="0" applyBorder="1" applyFont="1"/>
    <xf borderId="0" fillId="0" fontId="15" numFmtId="168" xfId="0" applyFont="1" applyNumberFormat="1"/>
    <xf borderId="57" fillId="0" fontId="4" numFmtId="20" xfId="0" applyBorder="1" applyFont="1" applyNumberFormat="1"/>
    <xf borderId="74" fillId="0" fontId="4" numFmtId="20" xfId="0" applyBorder="1" applyFont="1" applyNumberFormat="1"/>
    <xf borderId="50" fillId="14" fontId="12" numFmtId="0" xfId="0" applyAlignment="1" applyBorder="1" applyFill="1" applyFont="1">
      <alignment horizontal="center"/>
    </xf>
    <xf borderId="52" fillId="14" fontId="12" numFmtId="0" xfId="0" applyAlignment="1" applyBorder="1" applyFont="1">
      <alignment horizontal="center"/>
    </xf>
    <xf borderId="73" fillId="14" fontId="12" numFmtId="0" xfId="0" applyBorder="1" applyFont="1"/>
    <xf borderId="16" fillId="14" fontId="12" numFmtId="0" xfId="0" applyAlignment="1" applyBorder="1" applyFont="1">
      <alignment horizontal="center"/>
    </xf>
    <xf borderId="33" fillId="15" fontId="12" numFmtId="0" xfId="0" applyAlignment="1" applyBorder="1" applyFill="1" applyFont="1">
      <alignment horizontal="center"/>
    </xf>
    <xf borderId="72" fillId="15" fontId="12" numFmtId="0" xfId="0" applyAlignment="1" applyBorder="1" applyFont="1">
      <alignment horizontal="center"/>
    </xf>
    <xf borderId="75" fillId="15" fontId="12" numFmtId="0" xfId="0" applyBorder="1" applyFont="1"/>
    <xf borderId="2" fillId="15" fontId="12" numFmtId="0" xfId="0" applyAlignment="1" applyBorder="1" applyFont="1">
      <alignment horizontal="center"/>
    </xf>
    <xf borderId="76" fillId="0" fontId="4" numFmtId="0" xfId="0" applyBorder="1" applyFont="1"/>
    <xf borderId="77" fillId="0" fontId="4" numFmtId="0" xfId="0" applyAlignment="1" applyBorder="1" applyFont="1">
      <alignment horizontal="left"/>
    </xf>
    <xf borderId="77" fillId="0" fontId="4" numFmtId="0" xfId="0" applyBorder="1" applyFont="1"/>
    <xf borderId="78" fillId="0" fontId="4" numFmtId="0" xfId="0" applyBorder="1" applyFont="1"/>
    <xf borderId="79" fillId="12" fontId="13" numFmtId="165" xfId="0" applyBorder="1" applyFont="1" applyNumberFormat="1"/>
    <xf borderId="39" fillId="12" fontId="13" numFmtId="165" xfId="0" applyAlignment="1" applyBorder="1" applyFont="1" applyNumberFormat="1">
      <alignment vertical="center"/>
    </xf>
    <xf borderId="39" fillId="12" fontId="13" numFmtId="20" xfId="0" applyBorder="1" applyFont="1" applyNumberFormat="1"/>
    <xf borderId="10" fillId="0" fontId="4" numFmtId="0" xfId="0" applyAlignment="1" applyBorder="1" applyFont="1">
      <alignment horizontal="center"/>
    </xf>
    <xf borderId="53" fillId="0" fontId="2" numFmtId="0" xfId="0" applyBorder="1" applyFont="1"/>
    <xf borderId="80" fillId="16" fontId="13" numFmtId="165" xfId="0" applyBorder="1" applyFill="1" applyFont="1" applyNumberFormat="1"/>
    <xf borderId="81" fillId="16" fontId="13" numFmtId="165" xfId="0" applyBorder="1" applyFont="1" applyNumberFormat="1"/>
    <xf borderId="82" fillId="16" fontId="13" numFmtId="20" xfId="0" applyBorder="1" applyFont="1" applyNumberFormat="1"/>
    <xf borderId="29" fillId="0" fontId="4" numFmtId="0" xfId="0" applyAlignment="1" applyBorder="1" applyFont="1">
      <alignment horizontal="center" vertical="center"/>
    </xf>
    <xf borderId="31" fillId="0" fontId="2" numFmtId="0" xfId="0" applyBorder="1" applyFont="1"/>
    <xf borderId="83" fillId="0" fontId="2" numFmtId="0" xfId="0" applyBorder="1" applyFont="1"/>
    <xf borderId="5" fillId="17" fontId="13" numFmtId="165" xfId="0" applyAlignment="1" applyBorder="1" applyFill="1" applyFont="1" applyNumberFormat="1">
      <alignment horizontal="right"/>
    </xf>
    <xf borderId="6" fillId="11" fontId="13" numFmtId="165" xfId="0" applyBorder="1" applyFont="1" applyNumberFormat="1"/>
    <xf borderId="6" fillId="11" fontId="13" numFmtId="20" xfId="0" applyBorder="1" applyFont="1" applyNumberFormat="1"/>
    <xf borderId="80" fillId="18" fontId="13" numFmtId="165" xfId="0" applyBorder="1" applyFill="1" applyFont="1" applyNumberFormat="1"/>
    <xf borderId="81" fillId="18" fontId="13" numFmtId="165" xfId="0" applyBorder="1" applyFont="1" applyNumberFormat="1"/>
    <xf borderId="10" fillId="0" fontId="4" numFmtId="0" xfId="0" applyAlignment="1" applyBorder="1" applyFont="1">
      <alignment horizontal="center" vertical="center"/>
    </xf>
    <xf borderId="5" fillId="12" fontId="13" numFmtId="165" xfId="0" applyBorder="1" applyFont="1" applyNumberFormat="1"/>
    <xf borderId="6" fillId="12" fontId="13" numFmtId="165" xfId="0" applyBorder="1" applyFont="1" applyNumberFormat="1"/>
    <xf borderId="6" fillId="12" fontId="13" numFmtId="20" xfId="0" applyBorder="1" applyFont="1" applyNumberFormat="1"/>
    <xf borderId="0" fillId="0" fontId="16" numFmtId="0" xfId="0" applyAlignment="1" applyFont="1">
      <alignment horizontal="left"/>
    </xf>
    <xf borderId="5" fillId="11" fontId="13" numFmtId="165" xfId="0" applyBorder="1" applyFont="1" applyNumberFormat="1"/>
    <xf borderId="0" fillId="0" fontId="8" numFmtId="167" xfId="0" applyFont="1" applyNumberFormat="1"/>
    <xf borderId="0" fillId="0" fontId="11" numFmtId="0" xfId="0" applyFont="1"/>
    <xf borderId="0" fillId="0" fontId="17" numFmtId="0" xfId="0" applyFont="1"/>
    <xf borderId="84" fillId="18" fontId="13" numFmtId="165" xfId="0" applyBorder="1" applyFont="1" applyNumberFormat="1"/>
    <xf borderId="28" fillId="18" fontId="13" numFmtId="165" xfId="0" applyBorder="1" applyFont="1" applyNumberFormat="1"/>
    <xf borderId="85" fillId="16" fontId="13" numFmtId="165" xfId="0" applyBorder="1" applyFont="1" applyNumberFormat="1"/>
    <xf borderId="86" fillId="16" fontId="13" numFmtId="165" xfId="0" applyBorder="1" applyFont="1" applyNumberFormat="1"/>
    <xf borderId="61" fillId="0" fontId="4" numFmtId="0" xfId="0" applyAlignment="1" applyBorder="1" applyFont="1">
      <alignment horizontal="center" vertical="center"/>
    </xf>
    <xf borderId="87" fillId="0" fontId="2" numFmtId="0" xfId="0" applyBorder="1" applyFont="1"/>
    <xf borderId="88" fillId="0" fontId="2" numFmtId="0" xfId="0" applyBorder="1" applyFont="1"/>
    <xf borderId="25" fillId="19" fontId="18" numFmtId="18" xfId="0" applyBorder="1" applyFill="1" applyFont="1" applyNumberFormat="1"/>
    <xf borderId="89" fillId="19" fontId="18" numFmtId="18" xfId="0" applyBorder="1" applyFont="1" applyNumberFormat="1"/>
    <xf borderId="89" fillId="19" fontId="18" numFmtId="20" xfId="0" applyBorder="1" applyFont="1" applyNumberFormat="1"/>
    <xf borderId="89" fillId="19" fontId="19" numFmtId="0" xfId="0" applyBorder="1" applyFont="1"/>
    <xf borderId="89" fillId="19" fontId="19" numFmtId="18" xfId="0" applyBorder="1" applyFont="1" applyNumberFormat="1"/>
    <xf borderId="90" fillId="19" fontId="19" numFmtId="18" xfId="0" applyBorder="1" applyFont="1" applyNumberFormat="1"/>
    <xf borderId="91" fillId="19" fontId="18" numFmtId="18" xfId="0" applyBorder="1" applyFont="1" applyNumberFormat="1"/>
    <xf borderId="92" fillId="19" fontId="18" numFmtId="18" xfId="0" applyBorder="1" applyFont="1" applyNumberFormat="1"/>
    <xf borderId="92" fillId="19" fontId="18" numFmtId="20" xfId="0" applyBorder="1" applyFont="1" applyNumberFormat="1"/>
    <xf borderId="92" fillId="19" fontId="19" numFmtId="18" xfId="0" applyBorder="1" applyFont="1" applyNumberFormat="1"/>
    <xf borderId="93" fillId="19" fontId="19" numFmtId="18" xfId="0" applyBorder="1" applyFont="1" applyNumberFormat="1"/>
    <xf borderId="0" fillId="0" fontId="11" numFmtId="20" xfId="0" applyFont="1" applyNumberFormat="1"/>
    <xf borderId="6" fillId="0" fontId="4" numFmtId="20" xfId="0" applyBorder="1" applyFont="1" applyNumberFormat="1"/>
    <xf borderId="66" fillId="0" fontId="4" numFmtId="0" xfId="0" applyBorder="1" applyFont="1"/>
    <xf borderId="0" fillId="0" fontId="4" numFmtId="0" xfId="0" applyAlignment="1" applyFont="1">
      <alignment horizontal="center" shrinkToFit="0" wrapText="1"/>
    </xf>
    <xf borderId="0" fillId="0" fontId="4" numFmtId="0" xfId="0" applyAlignment="1" applyFont="1">
      <alignment shrinkToFit="0" wrapText="1"/>
    </xf>
    <xf borderId="49" fillId="12" fontId="5" numFmtId="0" xfId="0" applyAlignment="1" applyBorder="1" applyFont="1">
      <alignment horizontal="center" shrinkToFit="0" vertical="top" wrapText="1"/>
    </xf>
    <xf borderId="94" fillId="12" fontId="5" numFmtId="0" xfId="0" applyAlignment="1" applyBorder="1" applyFont="1">
      <alignment horizontal="center" shrinkToFit="0" vertical="center" wrapText="1"/>
    </xf>
    <xf borderId="95" fillId="0" fontId="2" numFmtId="0" xfId="0" applyBorder="1" applyFont="1"/>
    <xf borderId="96" fillId="0" fontId="2" numFmtId="0" xfId="0" applyBorder="1" applyFont="1"/>
    <xf borderId="12" fillId="12" fontId="5" numFmtId="0" xfId="0" applyAlignment="1" applyBorder="1" applyFont="1">
      <alignment horizontal="left" vertical="center"/>
    </xf>
    <xf borderId="97" fillId="0" fontId="2" numFmtId="0" xfId="0" applyBorder="1" applyFont="1"/>
    <xf borderId="98" fillId="12" fontId="4" numFmtId="18" xfId="0" applyAlignment="1" applyBorder="1" applyFont="1" applyNumberFormat="1">
      <alignment horizontal="left" vertical="center"/>
    </xf>
    <xf borderId="99" fillId="12" fontId="5" numFmtId="0" xfId="0" applyAlignment="1" applyBorder="1" applyFont="1">
      <alignment horizontal="left" vertical="center"/>
    </xf>
    <xf borderId="100" fillId="0" fontId="2" numFmtId="0" xfId="0" applyBorder="1" applyFont="1"/>
    <xf borderId="101" fillId="12" fontId="5" numFmtId="0" xfId="0" applyAlignment="1" applyBorder="1" applyFont="1">
      <alignment horizontal="left" vertical="center"/>
    </xf>
    <xf borderId="98" fillId="12" fontId="4" numFmtId="18" xfId="0" applyAlignment="1" applyBorder="1" applyFont="1" applyNumberFormat="1">
      <alignment horizontal="center" vertical="center"/>
    </xf>
    <xf borderId="102" fillId="12" fontId="5" numFmtId="0" xfId="0" applyAlignment="1" applyBorder="1" applyFont="1">
      <alignment horizontal="left"/>
    </xf>
    <xf borderId="26" fillId="12" fontId="4" numFmtId="0" xfId="0" applyAlignment="1" applyBorder="1" applyFont="1">
      <alignment horizontal="center"/>
    </xf>
    <xf borderId="5" fillId="3" fontId="11" numFmtId="0" xfId="0" applyBorder="1" applyFont="1"/>
    <xf borderId="28" fillId="3" fontId="11" numFmtId="0" xfId="0" applyBorder="1" applyFont="1"/>
    <xf borderId="55" fillId="0" fontId="2" numFmtId="0" xfId="0" applyBorder="1" applyFont="1"/>
    <xf borderId="60" fillId="0" fontId="2" numFmtId="0" xfId="0" applyBorder="1" applyFont="1"/>
    <xf borderId="103" fillId="12" fontId="4" numFmtId="18" xfId="0" applyAlignment="1" applyBorder="1" applyFont="1" applyNumberFormat="1">
      <alignment horizontal="left" vertical="center"/>
    </xf>
    <xf borderId="104" fillId="12" fontId="5" numFmtId="0" xfId="0" applyAlignment="1" applyBorder="1" applyFont="1">
      <alignment horizontal="left" vertical="center"/>
    </xf>
    <xf borderId="103" fillId="12" fontId="4" numFmtId="18" xfId="0" applyAlignment="1" applyBorder="1" applyFont="1" applyNumberFormat="1">
      <alignment horizontal="center" vertical="center"/>
    </xf>
    <xf borderId="32" fillId="12" fontId="5" numFmtId="0" xfId="0" applyAlignment="1" applyBorder="1" applyFont="1">
      <alignment horizontal="left"/>
    </xf>
    <xf borderId="26" fillId="12" fontId="4" numFmtId="15" xfId="0" applyAlignment="1" applyBorder="1" applyFont="1" applyNumberFormat="1">
      <alignment horizontal="center"/>
    </xf>
    <xf borderId="0" fillId="0" fontId="4" numFmtId="170" xfId="0" applyFont="1" applyNumberFormat="1"/>
    <xf borderId="5" fillId="20" fontId="11" numFmtId="171" xfId="0" applyBorder="1" applyFill="1" applyFont="1" applyNumberFormat="1"/>
    <xf borderId="28" fillId="20" fontId="11" numFmtId="172" xfId="0" applyBorder="1" applyFont="1" applyNumberFormat="1"/>
    <xf borderId="57" fillId="0" fontId="2" numFmtId="0" xfId="0" applyBorder="1" applyFont="1"/>
    <xf borderId="16" fillId="12" fontId="5" numFmtId="170" xfId="0" applyAlignment="1" applyBorder="1" applyFont="1" applyNumberFormat="1">
      <alignment horizontal="center" vertical="center"/>
    </xf>
    <xf borderId="46" fillId="3" fontId="20" numFmtId="0" xfId="0" applyAlignment="1" applyBorder="1" applyFont="1">
      <alignment horizontal="center" vertical="center"/>
    </xf>
    <xf borderId="46" fillId="3" fontId="20" numFmtId="0" xfId="0" applyAlignment="1" applyBorder="1" applyFont="1">
      <alignment vertical="center"/>
    </xf>
    <xf borderId="33" fillId="3" fontId="20" numFmtId="0" xfId="0" applyAlignment="1" applyBorder="1" applyFont="1">
      <alignment vertical="center"/>
    </xf>
    <xf borderId="16" fillId="3" fontId="20" numFmtId="0" xfId="0" applyAlignment="1" applyBorder="1" applyFont="1">
      <alignment horizontal="center" vertical="center"/>
    </xf>
    <xf borderId="35" fillId="3" fontId="20" numFmtId="0" xfId="0" applyAlignment="1" applyBorder="1" applyFont="1">
      <alignment horizontal="center" vertical="center"/>
    </xf>
    <xf borderId="33" fillId="3" fontId="21" numFmtId="0" xfId="0" applyAlignment="1" applyBorder="1" applyFont="1">
      <alignment horizontal="center" vertical="center"/>
    </xf>
    <xf borderId="33" fillId="3" fontId="21" numFmtId="0" xfId="0" applyAlignment="1" applyBorder="1" applyFont="1">
      <alignment vertical="center"/>
    </xf>
    <xf borderId="46" fillId="3" fontId="21" numFmtId="0" xfId="0" applyAlignment="1" applyBorder="1" applyFont="1">
      <alignment vertical="center"/>
    </xf>
    <xf borderId="44" fillId="3" fontId="20" numFmtId="0" xfId="0" applyBorder="1" applyFont="1"/>
    <xf borderId="105" fillId="3" fontId="20" numFmtId="0" xfId="0" applyBorder="1" applyFont="1"/>
    <xf borderId="19" fillId="3" fontId="20" numFmtId="0" xfId="0" applyBorder="1" applyFont="1"/>
    <xf borderId="106" fillId="0" fontId="22" numFmtId="18" xfId="0" applyBorder="1" applyFont="1" applyNumberFormat="1"/>
    <xf borderId="106" fillId="0" fontId="23" numFmtId="1" xfId="0" applyBorder="1" applyFont="1" applyNumberFormat="1"/>
    <xf borderId="65" fillId="0" fontId="23" numFmtId="1" xfId="0" applyBorder="1" applyFont="1" applyNumberFormat="1"/>
    <xf borderId="31" fillId="0" fontId="23" numFmtId="1" xfId="0" applyBorder="1" applyFont="1" applyNumberFormat="1"/>
    <xf borderId="80" fillId="20" fontId="24" numFmtId="20" xfId="0" applyAlignment="1" applyBorder="1" applyFont="1" applyNumberFormat="1">
      <alignment horizontal="left" shrinkToFit="0" vertical="center" wrapText="1"/>
    </xf>
    <xf borderId="80" fillId="20" fontId="19" numFmtId="1" xfId="0" applyBorder="1" applyFont="1" applyNumberFormat="1"/>
    <xf borderId="81" fillId="20" fontId="19" numFmtId="1" xfId="0" applyBorder="1" applyFont="1" applyNumberFormat="1"/>
    <xf borderId="107" fillId="20" fontId="19" numFmtId="1" xfId="0" applyBorder="1" applyFont="1" applyNumberFormat="1"/>
    <xf borderId="30" fillId="20" fontId="19" numFmtId="1" xfId="0" applyBorder="1" applyFont="1" applyNumberFormat="1"/>
    <xf borderId="80" fillId="21" fontId="25" numFmtId="20" xfId="0" applyAlignment="1" applyBorder="1" applyFill="1" applyFont="1" applyNumberFormat="1">
      <alignment horizontal="left" vertical="center"/>
    </xf>
    <xf borderId="106" fillId="0" fontId="26" numFmtId="1" xfId="0" applyBorder="1" applyFont="1" applyNumberFormat="1"/>
    <xf borderId="65" fillId="0" fontId="26" numFmtId="1" xfId="0" applyBorder="1" applyFont="1" applyNumberFormat="1"/>
    <xf borderId="31" fillId="0" fontId="26" numFmtId="1" xfId="0" applyBorder="1" applyFont="1" applyNumberFormat="1"/>
    <xf borderId="8" fillId="0" fontId="24" numFmtId="20" xfId="0" applyAlignment="1" applyBorder="1" applyFont="1" applyNumberFormat="1">
      <alignment horizontal="left" shrinkToFit="0" vertical="center" wrapText="1"/>
    </xf>
    <xf borderId="12" fillId="0" fontId="27" numFmtId="1" xfId="0" applyBorder="1" applyFont="1" applyNumberFormat="1"/>
    <xf borderId="14" fillId="0" fontId="27" numFmtId="1" xfId="0" applyBorder="1" applyFont="1" applyNumberFormat="1"/>
    <xf borderId="90" fillId="0" fontId="27" numFmtId="1" xfId="0" applyBorder="1" applyFont="1" applyNumberFormat="1"/>
    <xf borderId="108" fillId="0" fontId="27" numFmtId="1" xfId="0" applyBorder="1" applyFont="1" applyNumberFormat="1"/>
    <xf borderId="58" fillId="0" fontId="28" numFmtId="20" xfId="0" applyAlignment="1" applyBorder="1" applyFont="1" applyNumberFormat="1">
      <alignment shrinkToFit="0" wrapText="1"/>
    </xf>
    <xf borderId="87" fillId="0" fontId="29" numFmtId="0" xfId="0" applyBorder="1" applyFont="1"/>
    <xf borderId="87" fillId="0" fontId="30" numFmtId="0" xfId="0" applyBorder="1" applyFont="1"/>
    <xf borderId="87" fillId="0" fontId="31" numFmtId="1" xfId="0" applyBorder="1" applyFont="1" applyNumberFormat="1"/>
    <xf borderId="0" fillId="0" fontId="32" numFmtId="1" xfId="0" applyAlignment="1" applyFont="1" applyNumberFormat="1">
      <alignment horizontal="left"/>
    </xf>
    <xf borderId="87" fillId="0" fontId="31" numFmtId="0" xfId="0" applyBorder="1" applyFont="1"/>
    <xf borderId="87" fillId="0" fontId="33" numFmtId="0" xfId="0" applyBorder="1" applyFont="1"/>
    <xf borderId="17" fillId="0" fontId="34" numFmtId="0" xfId="0" applyBorder="1" applyFont="1"/>
    <xf borderId="17" fillId="0" fontId="31" numFmtId="1" xfId="0" applyBorder="1" applyFont="1" applyNumberFormat="1"/>
    <xf borderId="17" fillId="0" fontId="31" numFmtId="0" xfId="0" applyBorder="1" applyFont="1"/>
    <xf borderId="17" fillId="0" fontId="29" numFmtId="1" xfId="0" applyBorder="1" applyFont="1" applyNumberFormat="1"/>
    <xf borderId="17" fillId="0" fontId="35" numFmtId="0" xfId="0" applyBorder="1" applyFont="1"/>
    <xf borderId="18" fillId="0" fontId="29" numFmtId="1" xfId="0" applyBorder="1" applyFont="1" applyNumberFormat="1"/>
    <xf borderId="58" fillId="0" fontId="36" numFmtId="0" xfId="0" applyBorder="1" applyFont="1"/>
    <xf borderId="33" fillId="11" fontId="20" numFmtId="20" xfId="0" applyAlignment="1" applyBorder="1" applyFont="1" applyNumberFormat="1">
      <alignment horizontal="center" vertical="center"/>
    </xf>
    <xf borderId="72" fillId="11" fontId="20" numFmtId="0" xfId="0" applyAlignment="1" applyBorder="1" applyFont="1">
      <alignment horizontal="center" vertical="center"/>
    </xf>
    <xf borderId="109" fillId="11" fontId="20" numFmtId="0" xfId="0" applyAlignment="1" applyBorder="1" applyFont="1">
      <alignment horizontal="center" vertical="center"/>
    </xf>
    <xf borderId="110" fillId="11" fontId="20" numFmtId="0" xfId="0" applyAlignment="1" applyBorder="1" applyFont="1">
      <alignment horizontal="center" vertical="center"/>
    </xf>
    <xf borderId="16" fillId="22" fontId="20" numFmtId="0" xfId="0" applyAlignment="1" applyBorder="1" applyFill="1" applyFont="1">
      <alignment horizontal="center" shrinkToFit="0" vertical="center" wrapText="1"/>
    </xf>
    <xf borderId="51" fillId="0" fontId="2" numFmtId="0" xfId="0" applyBorder="1" applyFont="1"/>
    <xf borderId="26" fillId="22" fontId="20" numFmtId="0" xfId="0" applyAlignment="1" applyBorder="1" applyFont="1">
      <alignment horizontal="center" vertical="center"/>
    </xf>
    <xf borderId="73" fillId="22" fontId="20" numFmtId="0" xfId="0" applyAlignment="1" applyBorder="1" applyFont="1">
      <alignment horizontal="center" shrinkToFit="0" vertical="center" wrapText="1"/>
    </xf>
    <xf borderId="16" fillId="22" fontId="20" numFmtId="0" xfId="0" applyAlignment="1" applyBorder="1" applyFont="1">
      <alignment horizontal="center" vertical="center"/>
    </xf>
    <xf borderId="23" fillId="22" fontId="20" numFmtId="0" xfId="0" applyAlignment="1" applyBorder="1" applyFont="1">
      <alignment horizontal="center" shrinkToFit="0" vertical="center" wrapText="1"/>
    </xf>
    <xf borderId="106" fillId="0" fontId="26" numFmtId="20" xfId="0" applyBorder="1" applyFont="1" applyNumberFormat="1"/>
    <xf borderId="6" fillId="0" fontId="26" numFmtId="20" xfId="0" applyBorder="1" applyFont="1" applyNumberFormat="1"/>
    <xf borderId="83" fillId="0" fontId="26" numFmtId="20" xfId="0" applyBorder="1" applyFont="1" applyNumberFormat="1"/>
    <xf borderId="99" fillId="12" fontId="20" numFmtId="0" xfId="0" applyAlignment="1" applyBorder="1" applyFont="1">
      <alignment horizontal="left" vertical="center"/>
    </xf>
    <xf borderId="111" fillId="0" fontId="2" numFmtId="0" xfId="0" applyBorder="1" applyFont="1"/>
    <xf borderId="2" fillId="12" fontId="37" numFmtId="1" xfId="0" applyAlignment="1" applyBorder="1" applyFont="1" applyNumberFormat="1">
      <alignment vertical="center"/>
    </xf>
    <xf borderId="112" fillId="12" fontId="37" numFmtId="1" xfId="0" applyAlignment="1" applyBorder="1" applyFont="1" applyNumberFormat="1">
      <alignment vertical="center"/>
    </xf>
    <xf borderId="99" fillId="17" fontId="20" numFmtId="0" xfId="0" applyAlignment="1" applyBorder="1" applyFont="1">
      <alignment horizontal="left" vertical="center"/>
    </xf>
    <xf borderId="2" fillId="17" fontId="37" numFmtId="1" xfId="0" applyAlignment="1" applyBorder="1" applyFont="1" applyNumberFormat="1">
      <alignment horizontal="right" vertical="center"/>
    </xf>
    <xf borderId="34" fillId="17" fontId="37" numFmtId="1" xfId="0" applyAlignment="1" applyBorder="1" applyFont="1" applyNumberFormat="1">
      <alignment horizontal="right" vertical="center"/>
    </xf>
    <xf borderId="80" fillId="11" fontId="26" numFmtId="20" xfId="0" applyBorder="1" applyFont="1" applyNumberFormat="1"/>
    <xf borderId="81" fillId="11" fontId="26" numFmtId="20" xfId="0" applyBorder="1" applyFont="1" applyNumberFormat="1"/>
    <xf borderId="107" fillId="11" fontId="26" numFmtId="20" xfId="0" applyBorder="1" applyFont="1" applyNumberFormat="1"/>
    <xf borderId="8" fillId="12" fontId="20" numFmtId="0" xfId="0" applyAlignment="1" applyBorder="1" applyFont="1">
      <alignment horizontal="left" vertical="center"/>
    </xf>
    <xf borderId="10" fillId="12" fontId="37" numFmtId="1" xfId="0" applyAlignment="1" applyBorder="1" applyFont="1" applyNumberFormat="1">
      <alignment vertical="center"/>
    </xf>
    <xf borderId="6" fillId="12" fontId="37" numFmtId="1" xfId="0" applyAlignment="1" applyBorder="1" applyFont="1" applyNumberFormat="1">
      <alignment vertical="center"/>
    </xf>
    <xf borderId="8" fillId="17" fontId="20" numFmtId="0" xfId="0" applyAlignment="1" applyBorder="1" applyFont="1">
      <alignment horizontal="left" vertical="center"/>
    </xf>
    <xf borderId="10" fillId="17" fontId="37" numFmtId="1" xfId="0" applyAlignment="1" applyBorder="1" applyFont="1" applyNumberFormat="1">
      <alignment horizontal="right" vertical="center"/>
    </xf>
    <xf borderId="6" fillId="17" fontId="37" numFmtId="1" xfId="0" applyAlignment="1" applyBorder="1" applyFont="1" applyNumberFormat="1">
      <alignment horizontal="right" vertical="center"/>
    </xf>
    <xf borderId="29" fillId="0" fontId="26" numFmtId="20" xfId="0" applyBorder="1" applyFont="1" applyNumberFormat="1"/>
    <xf borderId="65" fillId="0" fontId="26" numFmtId="20" xfId="0" applyBorder="1" applyFont="1" applyNumberFormat="1"/>
    <xf borderId="12" fillId="12" fontId="20" numFmtId="0" xfId="0" applyAlignment="1" applyBorder="1" applyFont="1">
      <alignment horizontal="left" vertical="center"/>
    </xf>
    <xf borderId="14" fillId="12" fontId="37" numFmtId="1" xfId="0" applyAlignment="1" applyBorder="1" applyFont="1" applyNumberFormat="1">
      <alignment vertical="center"/>
    </xf>
    <xf borderId="89" fillId="12" fontId="37" numFmtId="1" xfId="0" applyAlignment="1" applyBorder="1" applyFont="1" applyNumberFormat="1">
      <alignment vertical="center"/>
    </xf>
    <xf borderId="99" fillId="23" fontId="20" numFmtId="0" xfId="0" applyAlignment="1" applyBorder="1" applyFill="1" applyFont="1">
      <alignment horizontal="left" vertical="center"/>
    </xf>
    <xf borderId="2" fillId="23" fontId="37" numFmtId="1" xfId="0" applyAlignment="1" applyBorder="1" applyFont="1" applyNumberFormat="1">
      <alignment vertical="center"/>
    </xf>
    <xf borderId="39" fillId="23" fontId="37" numFmtId="1" xfId="0" applyAlignment="1" applyBorder="1" applyFont="1" applyNumberFormat="1">
      <alignment vertical="center"/>
    </xf>
    <xf borderId="8" fillId="23" fontId="20" numFmtId="0" xfId="0" applyAlignment="1" applyBorder="1" applyFont="1">
      <alignment horizontal="left" vertical="center"/>
    </xf>
    <xf borderId="10" fillId="23" fontId="37" numFmtId="1" xfId="0" applyAlignment="1" applyBorder="1" applyFont="1" applyNumberFormat="1">
      <alignment vertical="center"/>
    </xf>
    <xf borderId="6" fillId="23" fontId="37" numFmtId="1" xfId="0" applyBorder="1" applyFont="1" applyNumberFormat="1"/>
    <xf borderId="8" fillId="23" fontId="20" numFmtId="0" xfId="0" applyAlignment="1" applyBorder="1" applyFont="1">
      <alignment horizontal="left"/>
    </xf>
    <xf borderId="5" fillId="11" fontId="26" numFmtId="20" xfId="0" applyBorder="1" applyFont="1" applyNumberFormat="1"/>
    <xf borderId="6" fillId="11" fontId="26" numFmtId="20" xfId="0" applyBorder="1" applyFont="1" applyNumberFormat="1"/>
    <xf borderId="7" fillId="11" fontId="26" numFmtId="20" xfId="0" applyBorder="1" applyFont="1" applyNumberFormat="1"/>
    <xf borderId="63" fillId="0" fontId="38" numFmtId="20" xfId="0" applyBorder="1" applyFont="1" applyNumberFormat="1"/>
    <xf borderId="64" fillId="0" fontId="38" numFmtId="20" xfId="0" applyBorder="1" applyFont="1" applyNumberFormat="1"/>
    <xf borderId="65" fillId="0" fontId="38" numFmtId="20" xfId="0" applyBorder="1" applyFont="1" applyNumberFormat="1"/>
    <xf borderId="12" fillId="17" fontId="20" numFmtId="0" xfId="0" applyAlignment="1" applyBorder="1" applyFont="1">
      <alignment horizontal="left" vertical="center"/>
    </xf>
    <xf borderId="14" fillId="17" fontId="37" numFmtId="1" xfId="0" applyAlignment="1" applyBorder="1" applyFont="1" applyNumberFormat="1">
      <alignment horizontal="right" vertical="center"/>
    </xf>
    <xf borderId="25" fillId="20" fontId="11" numFmtId="171" xfId="0" applyBorder="1" applyFont="1" applyNumberFormat="1"/>
    <xf borderId="86" fillId="20" fontId="11" numFmtId="172" xfId="0" applyBorder="1" applyFont="1" applyNumberFormat="1"/>
    <xf borderId="16" fillId="0" fontId="27" numFmtId="20" xfId="0" applyAlignment="1" applyBorder="1" applyFont="1" applyNumberFormat="1">
      <alignment shrinkToFit="0" wrapText="1"/>
    </xf>
    <xf borderId="16" fillId="0" fontId="38" numFmtId="20" xfId="0" applyBorder="1" applyFont="1" applyNumberFormat="1"/>
    <xf borderId="99" fillId="17" fontId="39" numFmtId="0" xfId="0" applyAlignment="1" applyBorder="1" applyFont="1">
      <alignment horizontal="left" vertical="center"/>
    </xf>
    <xf borderId="77" fillId="0" fontId="11" numFmtId="0" xfId="0" applyBorder="1" applyFont="1"/>
    <xf borderId="60" fillId="0" fontId="28" numFmtId="20" xfId="0" applyAlignment="1" applyBorder="1" applyFont="1" applyNumberFormat="1">
      <alignment shrinkToFit="0" wrapText="1"/>
    </xf>
    <xf borderId="61" fillId="0" fontId="36" numFmtId="0" xfId="0" applyBorder="1" applyFont="1"/>
    <xf borderId="87" fillId="0" fontId="36" numFmtId="0" xfId="0" applyBorder="1" applyFont="1"/>
    <xf borderId="113" fillId="0" fontId="32" numFmtId="0" xfId="0" applyBorder="1" applyFont="1"/>
    <xf borderId="12" fillId="23" fontId="20" numFmtId="0" xfId="0" applyAlignment="1" applyBorder="1" applyFont="1">
      <alignment horizontal="left" vertical="center"/>
    </xf>
    <xf borderId="14" fillId="23" fontId="37" numFmtId="1" xfId="0" applyAlignment="1" applyBorder="1" applyFont="1" applyNumberFormat="1">
      <alignment horizontal="right" vertical="center"/>
    </xf>
    <xf borderId="92" fillId="23" fontId="37" numFmtId="1" xfId="0" applyAlignment="1" applyBorder="1" applyFont="1" applyNumberFormat="1">
      <alignment horizontal="right" vertical="center"/>
    </xf>
    <xf borderId="12" fillId="17" fontId="29" numFmtId="0" xfId="0" applyAlignment="1" applyBorder="1" applyFont="1">
      <alignment horizontal="center"/>
    </xf>
    <xf borderId="108" fillId="0" fontId="2" numFmtId="0" xfId="0" applyBorder="1" applyFont="1"/>
    <xf borderId="0" fillId="0" fontId="6" numFmtId="1" xfId="0" applyFont="1" applyNumberFormat="1"/>
    <xf borderId="96" fillId="0" fontId="40" numFmtId="0" xfId="0" applyAlignment="1" applyBorder="1" applyFont="1">
      <alignment horizontal="center"/>
    </xf>
    <xf borderId="96" fillId="0" fontId="34" numFmtId="0" xfId="0" applyBorder="1" applyFont="1"/>
    <xf borderId="0" fillId="0" fontId="41" numFmtId="0" xfId="0" applyFont="1"/>
    <xf borderId="0" fillId="0" fontId="11" numFmtId="20" xfId="0" applyAlignment="1" applyFont="1" applyNumberFormat="1">
      <alignment shrinkToFit="0" wrapText="1"/>
    </xf>
    <xf borderId="0" fillId="0" fontId="42" numFmtId="0" xfId="0" applyAlignment="1" applyFont="1">
      <alignment shrinkToFit="0" wrapText="1"/>
    </xf>
    <xf borderId="58" fillId="0" fontId="11" numFmtId="20" xfId="0" applyAlignment="1" applyBorder="1" applyFont="1" applyNumberFormat="1">
      <alignment shrinkToFit="0" wrapText="1"/>
    </xf>
    <xf borderId="0" fillId="0" fontId="43" numFmtId="0" xfId="0" applyFont="1"/>
    <xf borderId="0" fillId="0" fontId="11" numFmtId="0" xfId="0" applyAlignment="1" applyFont="1">
      <alignment horizontal="center"/>
    </xf>
    <xf borderId="0" fillId="0" fontId="42" numFmtId="0" xfId="0" applyAlignment="1" applyFont="1">
      <alignment horizontal="center" shrinkToFit="0" wrapText="1"/>
    </xf>
    <xf borderId="16" fillId="0" fontId="4" numFmtId="0" xfId="0" applyAlignment="1" applyBorder="1" applyFont="1">
      <alignment horizontal="center"/>
    </xf>
    <xf borderId="94" fillId="0" fontId="4" numFmtId="0" xfId="0" applyAlignment="1" applyBorder="1" applyFont="1">
      <alignment horizontal="center"/>
    </xf>
    <xf borderId="114" fillId="24" fontId="11" numFmtId="18" xfId="0" applyBorder="1" applyFill="1" applyFont="1" applyNumberFormat="1"/>
    <xf borderId="6" fillId="0" fontId="4" numFmtId="1" xfId="0" applyBorder="1" applyFont="1" applyNumberFormat="1"/>
    <xf borderId="6" fillId="0" fontId="4" numFmtId="1" xfId="0" applyAlignment="1" applyBorder="1" applyFont="1" applyNumberFormat="1">
      <alignment horizontal="center"/>
    </xf>
    <xf borderId="6" fillId="0" fontId="4" numFmtId="0" xfId="0" applyAlignment="1" applyBorder="1" applyFont="1">
      <alignment horizontal="center"/>
    </xf>
    <xf borderId="99" fillId="0" fontId="4" numFmtId="0" xfId="0" applyBorder="1" applyFont="1"/>
    <xf borderId="42" fillId="0" fontId="11" numFmtId="0" xfId="0" applyAlignment="1" applyBorder="1" applyFont="1">
      <alignment vertical="center"/>
    </xf>
    <xf borderId="0" fillId="0" fontId="44" numFmtId="0" xfId="0" applyFont="1"/>
    <xf borderId="40" fillId="0" fontId="4" numFmtId="1" xfId="0" applyAlignment="1" applyBorder="1" applyFont="1" applyNumberFormat="1">
      <alignment horizontal="center"/>
    </xf>
    <xf borderId="0" fillId="0" fontId="45" numFmtId="1" xfId="0" applyFont="1" applyNumberFormat="1"/>
    <xf borderId="0" fillId="0" fontId="42" numFmtId="0" xfId="0" applyAlignment="1" applyFont="1">
      <alignment vertical="center"/>
    </xf>
    <xf borderId="6" fillId="20" fontId="4" numFmtId="0" xfId="0" applyBorder="1" applyFont="1"/>
    <xf borderId="28" fillId="20" fontId="4" numFmtId="0" xfId="0" applyBorder="1" applyFont="1"/>
    <xf borderId="6" fillId="20" fontId="14" numFmtId="0" xfId="0" applyBorder="1" applyFont="1"/>
    <xf borderId="27" fillId="20" fontId="4" numFmtId="9" xfId="0" applyBorder="1" applyFont="1" applyNumberFormat="1"/>
    <xf borderId="6" fillId="20" fontId="4" numFmtId="9" xfId="0" applyBorder="1" applyFont="1" applyNumberFormat="1"/>
    <xf borderId="115" fillId="19" fontId="44" numFmtId="0" xfId="0" applyBorder="1" applyFont="1"/>
    <xf borderId="19" fillId="19" fontId="44" numFmtId="0" xfId="0" applyBorder="1" applyFont="1"/>
    <xf borderId="82" fillId="20" fontId="4" numFmtId="0" xfId="0" applyBorder="1" applyFont="1"/>
    <xf borderId="0" fillId="0" fontId="4" numFmtId="1" xfId="0" applyFont="1" applyNumberFormat="1"/>
    <xf borderId="68" fillId="0" fontId="4" numFmtId="1" xfId="0" applyBorder="1" applyFont="1" applyNumberFormat="1"/>
    <xf borderId="116" fillId="20" fontId="4" numFmtId="9" xfId="0" applyBorder="1" applyFont="1" applyNumberFormat="1"/>
    <xf borderId="6" fillId="20" fontId="4" numFmtId="1" xfId="0" applyBorder="1" applyFont="1" applyNumberFormat="1"/>
    <xf borderId="1" fillId="20" fontId="4" numFmtId="0" xfId="0" applyBorder="1" applyFont="1"/>
    <xf borderId="6" fillId="20" fontId="4" numFmtId="0" xfId="0" applyAlignment="1" applyBorder="1" applyFont="1">
      <alignment horizontal="left"/>
    </xf>
    <xf borderId="5" fillId="0" fontId="4" numFmtId="0" xfId="0" applyBorder="1" applyFont="1"/>
    <xf borderId="98" fillId="9" fontId="46" numFmtId="18" xfId="0" applyAlignment="1" applyBorder="1" applyFont="1" applyNumberFormat="1">
      <alignment horizontal="center" vertical="center"/>
    </xf>
    <xf borderId="0" fillId="0" fontId="4" numFmtId="15" xfId="0" applyFont="1" applyNumberFormat="1"/>
    <xf borderId="0" fillId="0" fontId="47" numFmtId="170" xfId="0" applyFont="1" applyNumberFormat="1"/>
    <xf borderId="117" fillId="0" fontId="4" numFmtId="18" xfId="0" applyBorder="1" applyFont="1" applyNumberFormat="1"/>
    <xf borderId="6" fillId="0" fontId="4" numFmtId="170" xfId="0" applyBorder="1" applyFont="1" applyNumberFormat="1"/>
    <xf borderId="0" fillId="0" fontId="4" numFmtId="173" xfId="0" applyFont="1" applyNumberFormat="1"/>
    <xf borderId="16" fillId="0" fontId="4" numFmtId="170" xfId="0" applyBorder="1" applyFont="1" applyNumberFormat="1"/>
    <xf borderId="16" fillId="0" fontId="48" numFmtId="17" xfId="0" applyBorder="1" applyFont="1" applyNumberFormat="1"/>
    <xf borderId="94" fillId="0" fontId="4" numFmtId="0" xfId="0" applyBorder="1" applyFont="1"/>
    <xf borderId="96" fillId="0" fontId="4" numFmtId="0" xfId="0" applyBorder="1" applyFont="1"/>
    <xf borderId="95" fillId="0" fontId="4" numFmtId="0" xfId="0" applyBorder="1" applyFont="1"/>
    <xf borderId="58" fillId="0" fontId="6" numFmtId="22" xfId="0" applyBorder="1" applyFont="1" applyNumberFormat="1"/>
    <xf borderId="58" fillId="0" fontId="4" numFmtId="0" xfId="0" applyBorder="1" applyFont="1"/>
    <xf borderId="118" fillId="25" fontId="6" numFmtId="174" xfId="0" applyAlignment="1" applyBorder="1" applyFill="1" applyFont="1" applyNumberFormat="1">
      <alignment horizontal="center"/>
    </xf>
    <xf borderId="119" fillId="0" fontId="2" numFmtId="0" xfId="0" applyBorder="1" applyFont="1"/>
    <xf borderId="19" fillId="8" fontId="6" numFmtId="174" xfId="0" applyBorder="1" applyFont="1" applyNumberFormat="1"/>
    <xf borderId="1" fillId="3" fontId="49" numFmtId="0" xfId="0" applyAlignment="1" applyBorder="1" applyFont="1">
      <alignment horizontal="center" vertical="center"/>
    </xf>
    <xf borderId="112" fillId="3" fontId="50" numFmtId="0" xfId="0" applyBorder="1" applyFont="1"/>
    <xf borderId="120" fillId="3" fontId="51" numFmtId="0" xfId="0" applyBorder="1" applyFont="1"/>
    <xf borderId="121" fillId="0" fontId="4" numFmtId="0" xfId="0" applyBorder="1" applyFont="1"/>
    <xf borderId="1" fillId="26" fontId="12" numFmtId="0" xfId="0" applyAlignment="1" applyBorder="1" applyFill="1" applyFont="1">
      <alignment horizontal="center"/>
    </xf>
    <xf borderId="52" fillId="26" fontId="12" numFmtId="0" xfId="0" applyBorder="1" applyFont="1"/>
    <xf borderId="72" fillId="26" fontId="12" numFmtId="0" xfId="0" applyBorder="1" applyFont="1"/>
    <xf borderId="26" fillId="26" fontId="12" numFmtId="0" xfId="0" applyAlignment="1" applyBorder="1" applyFont="1">
      <alignment horizontal="center"/>
    </xf>
    <xf borderId="16" fillId="26" fontId="12" numFmtId="0" xfId="0" applyAlignment="1" applyBorder="1" applyFont="1">
      <alignment horizontal="center"/>
    </xf>
    <xf borderId="122" fillId="0" fontId="2" numFmtId="0" xfId="0" applyBorder="1" applyFont="1"/>
    <xf borderId="42" fillId="26" fontId="12" numFmtId="0" xfId="0" applyAlignment="1" applyBorder="1" applyFont="1">
      <alignment horizontal="center" vertical="center"/>
    </xf>
    <xf borderId="24" fillId="26" fontId="12" numFmtId="0" xfId="0" applyAlignment="1" applyBorder="1" applyFont="1">
      <alignment horizontal="center" vertical="center"/>
    </xf>
    <xf borderId="25" fillId="3" fontId="49" numFmtId="0" xfId="0" applyAlignment="1" applyBorder="1" applyFont="1">
      <alignment horizontal="center" vertical="center"/>
    </xf>
    <xf borderId="89" fillId="3" fontId="52" numFmtId="170" xfId="0" applyAlignment="1" applyBorder="1" applyFont="1" applyNumberFormat="1">
      <alignment horizontal="left"/>
    </xf>
    <xf borderId="90" fillId="3" fontId="52" numFmtId="170" xfId="0" applyAlignment="1" applyBorder="1" applyFont="1" applyNumberFormat="1">
      <alignment horizontal="left"/>
    </xf>
    <xf borderId="123" fillId="21" fontId="53" numFmtId="0" xfId="0" applyAlignment="1" applyBorder="1" applyFont="1">
      <alignment horizontal="center"/>
    </xf>
    <xf borderId="19" fillId="9" fontId="11" numFmtId="18" xfId="0" applyBorder="1" applyFont="1" applyNumberFormat="1"/>
    <xf borderId="46" fillId="21" fontId="54" numFmtId="1" xfId="0" applyAlignment="1" applyBorder="1" applyFont="1" applyNumberFormat="1">
      <alignment horizontal="center"/>
    </xf>
    <xf borderId="33" fillId="21" fontId="54" numFmtId="1" xfId="0" applyAlignment="1" applyBorder="1" applyFont="1" applyNumberFormat="1">
      <alignment horizontal="center"/>
    </xf>
    <xf borderId="16" fillId="0" fontId="54" numFmtId="1" xfId="0" applyAlignment="1" applyBorder="1" applyFont="1" applyNumberFormat="1">
      <alignment horizontal="center"/>
    </xf>
    <xf borderId="16" fillId="21" fontId="54" numFmtId="1" xfId="0" applyAlignment="1" applyBorder="1" applyFont="1" applyNumberFormat="1">
      <alignment horizontal="center"/>
    </xf>
    <xf borderId="38" fillId="21" fontId="54" numFmtId="1" xfId="0" applyAlignment="1" applyBorder="1" applyFont="1" applyNumberFormat="1">
      <alignment horizontal="center"/>
    </xf>
    <xf borderId="0" fillId="0" fontId="6" numFmtId="22" xfId="0" applyFont="1" applyNumberFormat="1"/>
    <xf borderId="33" fillId="27" fontId="49" numFmtId="0" xfId="0" applyAlignment="1" applyBorder="1" applyFill="1" applyFont="1">
      <alignment horizontal="center"/>
    </xf>
    <xf borderId="33" fillId="9" fontId="5" numFmtId="9" xfId="0" applyAlignment="1" applyBorder="1" applyFont="1" applyNumberFormat="1">
      <alignment horizontal="center" vertical="center"/>
    </xf>
    <xf borderId="22" fillId="19" fontId="55" numFmtId="9" xfId="0" applyAlignment="1" applyBorder="1" applyFont="1" applyNumberFormat="1">
      <alignment horizontal="center" vertical="center"/>
    </xf>
    <xf borderId="42" fillId="19" fontId="55" numFmtId="9" xfId="0" applyAlignment="1" applyBorder="1" applyFont="1" applyNumberFormat="1">
      <alignment horizontal="center" vertical="center"/>
    </xf>
    <xf borderId="34" fillId="19" fontId="55" numFmtId="0" xfId="0" applyAlignment="1" applyBorder="1" applyFont="1">
      <alignment horizontal="center" vertical="center"/>
    </xf>
    <xf borderId="33" fillId="19" fontId="55" numFmtId="0" xfId="0" applyAlignment="1" applyBorder="1" applyFont="1">
      <alignment horizontal="center" vertical="center"/>
    </xf>
    <xf borderId="124" fillId="19" fontId="55" numFmtId="0" xfId="0" applyAlignment="1" applyBorder="1" applyFont="1">
      <alignment horizontal="center" vertical="center"/>
    </xf>
    <xf borderId="125" fillId="19" fontId="55" numFmtId="0" xfId="0" applyAlignment="1" applyBorder="1" applyFont="1">
      <alignment horizontal="center" vertical="center"/>
    </xf>
    <xf borderId="38" fillId="19" fontId="55" numFmtId="0" xfId="0" applyAlignment="1" applyBorder="1" applyFont="1">
      <alignment horizontal="center" vertical="center"/>
    </xf>
    <xf borderId="46" fillId="19" fontId="55" numFmtId="0" xfId="0" applyAlignment="1" applyBorder="1" applyFont="1">
      <alignment horizontal="center" vertical="center"/>
    </xf>
    <xf borderId="38" fillId="27" fontId="56" numFmtId="0" xfId="0" applyAlignment="1" applyBorder="1" applyFont="1">
      <alignment horizontal="center" vertical="center"/>
    </xf>
    <xf borderId="17" fillId="0" fontId="56" numFmtId="0" xfId="0" applyAlignment="1" applyBorder="1" applyFont="1">
      <alignment horizontal="center" vertical="center"/>
    </xf>
    <xf borderId="126" fillId="19" fontId="55" numFmtId="0" xfId="0" applyAlignment="1" applyBorder="1" applyFont="1">
      <alignment horizontal="center" vertical="center"/>
    </xf>
    <xf borderId="5" fillId="20" fontId="57" numFmtId="18" xfId="0" applyBorder="1" applyFont="1" applyNumberFormat="1"/>
    <xf borderId="33" fillId="9" fontId="4" numFmtId="9" xfId="0" applyAlignment="1" applyBorder="1" applyFont="1" applyNumberFormat="1">
      <alignment horizontal="center" vertical="center"/>
    </xf>
    <xf borderId="49" fillId="0" fontId="54" numFmtId="0" xfId="0" applyAlignment="1" applyBorder="1" applyFont="1">
      <alignment horizontal="center" vertical="center"/>
    </xf>
    <xf borderId="4" fillId="0" fontId="54" numFmtId="0" xfId="0" applyAlignment="1" applyBorder="1" applyFont="1">
      <alignment horizontal="center" vertical="center"/>
    </xf>
    <xf borderId="117" fillId="0" fontId="54" numFmtId="0" xfId="0" applyAlignment="1" applyBorder="1" applyFont="1">
      <alignment horizontal="center" vertical="center"/>
    </xf>
    <xf borderId="3" fillId="0" fontId="54" numFmtId="0" xfId="0" applyAlignment="1" applyBorder="1" applyFont="1">
      <alignment horizontal="center" vertical="center"/>
    </xf>
    <xf borderId="99" fillId="0" fontId="54" numFmtId="0" xfId="0" applyAlignment="1" applyBorder="1" applyFont="1">
      <alignment horizontal="center" vertical="center"/>
    </xf>
    <xf borderId="3" fillId="0" fontId="54" numFmtId="9" xfId="0" applyAlignment="1" applyBorder="1" applyFont="1" applyNumberFormat="1">
      <alignment horizontal="center" vertical="center"/>
    </xf>
    <xf borderId="49" fillId="0" fontId="43" numFmtId="0" xfId="0" applyBorder="1" applyFont="1"/>
    <xf borderId="1" fillId="21" fontId="58" numFmtId="0" xfId="0" applyBorder="1" applyFont="1"/>
    <xf borderId="125" fillId="21" fontId="59" numFmtId="1" xfId="0" applyAlignment="1" applyBorder="1" applyFont="1" applyNumberFormat="1">
      <alignment horizontal="right"/>
    </xf>
    <xf borderId="54" fillId="0" fontId="54" numFmtId="0" xfId="0" applyAlignment="1" applyBorder="1" applyFont="1">
      <alignment horizontal="center" vertical="center"/>
    </xf>
    <xf borderId="127" fillId="0" fontId="54" numFmtId="0" xfId="0" applyAlignment="1" applyBorder="1" applyFont="1">
      <alignment horizontal="center" vertical="center"/>
    </xf>
    <xf borderId="128" fillId="0" fontId="54" numFmtId="0" xfId="0" applyAlignment="1" applyBorder="1" applyFont="1">
      <alignment horizontal="center" vertical="center"/>
    </xf>
    <xf borderId="95" fillId="0" fontId="54" numFmtId="0" xfId="0" applyAlignment="1" applyBorder="1" applyFont="1">
      <alignment horizontal="center" vertical="center"/>
    </xf>
    <xf borderId="5" fillId="20" fontId="22" numFmtId="18" xfId="0" applyBorder="1" applyFont="1" applyNumberFormat="1"/>
    <xf borderId="129" fillId="9" fontId="4" numFmtId="9" xfId="0" applyAlignment="1" applyBorder="1" applyFont="1" applyNumberFormat="1">
      <alignment horizontal="center" vertical="center"/>
    </xf>
    <xf borderId="42" fillId="0" fontId="54" numFmtId="0" xfId="0" applyAlignment="1" applyBorder="1" applyFont="1">
      <alignment horizontal="center" vertical="center"/>
    </xf>
    <xf borderId="130" fillId="0" fontId="43" numFmtId="0" xfId="0" applyBorder="1" applyFont="1"/>
    <xf borderId="5" fillId="28" fontId="60" numFmtId="0" xfId="0" applyBorder="1" applyFill="1" applyFont="1"/>
    <xf borderId="107" fillId="28" fontId="59" numFmtId="1" xfId="0" applyAlignment="1" applyBorder="1" applyFont="1" applyNumberFormat="1">
      <alignment horizontal="right"/>
    </xf>
    <xf borderId="5" fillId="0" fontId="54" numFmtId="0" xfId="0" applyAlignment="1" applyBorder="1" applyFont="1">
      <alignment horizontal="center" vertical="center"/>
    </xf>
    <xf borderId="10" fillId="0" fontId="54" numFmtId="0" xfId="0" applyAlignment="1" applyBorder="1" applyFont="1">
      <alignment horizontal="center" vertical="center"/>
    </xf>
    <xf borderId="7" fillId="0" fontId="54" numFmtId="0" xfId="0" applyAlignment="1" applyBorder="1" applyFont="1">
      <alignment horizontal="center" vertical="center"/>
    </xf>
    <xf borderId="130" fillId="0" fontId="54" numFmtId="0" xfId="0" applyAlignment="1" applyBorder="1" applyFont="1">
      <alignment horizontal="center" vertical="center"/>
    </xf>
    <xf borderId="11" fillId="0" fontId="54" numFmtId="0" xfId="0" applyAlignment="1" applyBorder="1" applyFont="1">
      <alignment horizontal="center" vertical="center"/>
    </xf>
    <xf borderId="5" fillId="21" fontId="58" numFmtId="0" xfId="0" applyBorder="1" applyFont="1"/>
    <xf borderId="107" fillId="21" fontId="59" numFmtId="1" xfId="0" applyAlignment="1" applyBorder="1" applyFont="1" applyNumberFormat="1">
      <alignment horizontal="right"/>
    </xf>
    <xf borderId="5" fillId="21" fontId="61" numFmtId="0" xfId="0" applyBorder="1" applyFont="1"/>
    <xf borderId="121" fillId="0" fontId="14" numFmtId="0" xfId="0" applyBorder="1" applyFont="1"/>
    <xf borderId="25" fillId="20" fontId="22" numFmtId="18" xfId="0" applyBorder="1" applyFont="1" applyNumberFormat="1"/>
    <xf borderId="131" fillId="9" fontId="4" numFmtId="9" xfId="0" applyAlignment="1" applyBorder="1" applyFont="1" applyNumberFormat="1">
      <alignment horizontal="center" vertical="center"/>
    </xf>
    <xf borderId="18" fillId="0" fontId="54" numFmtId="0" xfId="0" applyAlignment="1" applyBorder="1" applyFont="1">
      <alignment horizontal="center" vertical="center"/>
    </xf>
    <xf borderId="17" fillId="0" fontId="54" numFmtId="0" xfId="0" applyAlignment="1" applyBorder="1" applyFont="1">
      <alignment horizontal="center" vertical="center"/>
    </xf>
    <xf borderId="16" fillId="0" fontId="54" numFmtId="0" xfId="0" applyAlignment="1" applyBorder="1" applyFont="1">
      <alignment horizontal="center" vertical="center"/>
    </xf>
    <xf borderId="132" fillId="0" fontId="43" numFmtId="0" xfId="0" applyBorder="1" applyFont="1"/>
    <xf borderId="5" fillId="28" fontId="61" numFmtId="0" xfId="0" applyBorder="1" applyFont="1"/>
    <xf borderId="14" fillId="0" fontId="54" numFmtId="0" xfId="0" applyAlignment="1" applyBorder="1" applyFont="1">
      <alignment horizontal="center" vertical="center"/>
    </xf>
    <xf borderId="90" fillId="0" fontId="54" numFmtId="0" xfId="0" applyAlignment="1" applyBorder="1" applyFont="1">
      <alignment horizontal="center" vertical="center"/>
    </xf>
    <xf borderId="58" fillId="0" fontId="6" numFmtId="18" xfId="0" applyBorder="1" applyFont="1" applyNumberFormat="1"/>
    <xf borderId="0" fillId="0" fontId="4" numFmtId="0" xfId="0" applyAlignment="1" applyFont="1">
      <alignment horizontal="center" vertical="center"/>
    </xf>
    <xf borderId="0" fillId="0" fontId="4" numFmtId="9" xfId="0" applyAlignment="1" applyFont="1" applyNumberFormat="1">
      <alignment horizontal="center" vertical="center"/>
    </xf>
    <xf borderId="25" fillId="21" fontId="62" numFmtId="0" xfId="0" applyAlignment="1" applyBorder="1" applyFont="1">
      <alignment horizontal="left"/>
    </xf>
    <xf borderId="90" fillId="21" fontId="59" numFmtId="1" xfId="0" applyAlignment="1" applyBorder="1" applyFont="1" applyNumberFormat="1">
      <alignment horizontal="right"/>
    </xf>
    <xf borderId="58" fillId="0" fontId="6" numFmtId="2" xfId="0" applyBorder="1" applyFont="1" applyNumberFormat="1"/>
    <xf borderId="0" fillId="0" fontId="4" numFmtId="0" xfId="0" applyAlignment="1" applyFont="1">
      <alignment horizontal="center"/>
    </xf>
    <xf borderId="58" fillId="0" fontId="6" numFmtId="0" xfId="0" applyBorder="1" applyFont="1"/>
    <xf borderId="0" fillId="0" fontId="63" numFmtId="0" xfId="0" applyAlignment="1" applyFont="1">
      <alignment horizontal="right"/>
    </xf>
    <xf borderId="0" fillId="0" fontId="43" numFmtId="170" xfId="0" applyFont="1" applyNumberFormat="1"/>
    <xf borderId="121" fillId="0" fontId="43" numFmtId="0" xfId="0" applyBorder="1" applyFont="1"/>
    <xf borderId="60" fillId="0" fontId="4" numFmtId="0" xfId="0" applyBorder="1" applyFont="1"/>
    <xf borderId="33" fillId="5" fontId="61" numFmtId="0" xfId="0" applyAlignment="1" applyBorder="1" applyFont="1">
      <alignment horizontal="center"/>
    </xf>
    <xf borderId="109" fillId="5" fontId="61" numFmtId="0" xfId="0" applyAlignment="1" applyBorder="1" applyFont="1">
      <alignment horizontal="center"/>
    </xf>
    <xf borderId="33" fillId="5" fontId="61" numFmtId="0" xfId="0" applyBorder="1" applyFont="1"/>
    <xf borderId="72" fillId="5" fontId="61" numFmtId="0" xfId="0" applyAlignment="1" applyBorder="1" applyFont="1">
      <alignment horizontal="center" vertical="top"/>
    </xf>
    <xf borderId="72" fillId="5" fontId="61" numFmtId="0" xfId="0" applyAlignment="1" applyBorder="1" applyFont="1">
      <alignment horizontal="center"/>
    </xf>
    <xf borderId="125" fillId="5" fontId="61" numFmtId="0" xfId="0" applyBorder="1" applyFont="1"/>
    <xf borderId="1" fillId="16" fontId="64" numFmtId="0" xfId="0" applyBorder="1" applyFont="1"/>
    <xf borderId="112" fillId="16" fontId="64" numFmtId="0" xfId="0" applyBorder="1" applyFont="1"/>
    <xf borderId="120" fillId="16" fontId="64" numFmtId="0" xfId="0" applyBorder="1" applyFont="1"/>
    <xf borderId="19" fillId="8" fontId="11" numFmtId="0" xfId="0" applyBorder="1" applyFont="1"/>
    <xf borderId="19" fillId="8" fontId="11" numFmtId="0" xfId="0" applyAlignment="1" applyBorder="1" applyFont="1">
      <alignment horizontal="center" vertical="center"/>
    </xf>
    <xf borderId="58" fillId="0" fontId="4" numFmtId="1" xfId="0" applyBorder="1" applyFont="1" applyNumberFormat="1"/>
    <xf borderId="99" fillId="11" fontId="49" numFmtId="0" xfId="0" applyAlignment="1" applyBorder="1" applyFont="1">
      <alignment horizontal="center"/>
    </xf>
    <xf borderId="1" fillId="11" fontId="43" numFmtId="1" xfId="0" applyBorder="1" applyFont="1" applyNumberFormat="1"/>
    <xf borderId="112" fillId="11" fontId="43" numFmtId="1" xfId="0" applyBorder="1" applyFont="1" applyNumberFormat="1"/>
    <xf borderId="112" fillId="11" fontId="43" numFmtId="0" xfId="0" applyBorder="1" applyFont="1"/>
    <xf borderId="120" fillId="11" fontId="43" numFmtId="1" xfId="0" applyAlignment="1" applyBorder="1" applyFont="1" applyNumberFormat="1">
      <alignment horizontal="right"/>
    </xf>
    <xf borderId="5" fillId="16" fontId="65" numFmtId="0" xfId="0" applyBorder="1" applyFont="1"/>
    <xf borderId="6" fillId="16" fontId="66" numFmtId="1" xfId="0" applyBorder="1" applyFont="1" applyNumberFormat="1"/>
    <xf borderId="6" fillId="16" fontId="66" numFmtId="0" xfId="0" applyBorder="1" applyFont="1"/>
    <xf borderId="7" fillId="16" fontId="66" numFmtId="0" xfId="0" applyBorder="1" applyFont="1"/>
    <xf borderId="8" fillId="0" fontId="49" numFmtId="0" xfId="0" applyAlignment="1" applyBorder="1" applyFont="1">
      <alignment horizontal="center"/>
    </xf>
    <xf borderId="5" fillId="8" fontId="43" numFmtId="1" xfId="0" applyBorder="1" applyFont="1" applyNumberFormat="1"/>
    <xf borderId="6" fillId="11" fontId="43" numFmtId="0" xfId="0" applyBorder="1" applyFont="1"/>
    <xf borderId="6" fillId="8" fontId="43" numFmtId="0" xfId="0" applyBorder="1" applyFont="1"/>
    <xf borderId="6" fillId="8" fontId="43" numFmtId="1" xfId="0" applyBorder="1" applyFont="1" applyNumberFormat="1"/>
    <xf borderId="7" fillId="8" fontId="43" numFmtId="1" xfId="0" applyBorder="1" applyFont="1" applyNumberFormat="1"/>
    <xf borderId="5" fillId="16" fontId="67" numFmtId="0" xfId="0" applyBorder="1" applyFont="1"/>
    <xf borderId="6" fillId="8" fontId="11" numFmtId="20" xfId="0" applyBorder="1" applyFont="1" applyNumberFormat="1"/>
    <xf borderId="7" fillId="8" fontId="11" numFmtId="20" xfId="0" applyBorder="1" applyFont="1" applyNumberFormat="1"/>
    <xf borderId="19" fillId="8" fontId="11" numFmtId="1" xfId="0" applyAlignment="1" applyBorder="1" applyFont="1" applyNumberFormat="1">
      <alignment horizontal="center" vertical="center"/>
    </xf>
    <xf borderId="58" fillId="0" fontId="68" numFmtId="21" xfId="0" applyBorder="1" applyFont="1" applyNumberFormat="1"/>
    <xf borderId="87" fillId="0" fontId="4" numFmtId="0" xfId="0" applyBorder="1" applyFont="1"/>
    <xf borderId="8" fillId="11" fontId="49" numFmtId="0" xfId="0" applyAlignment="1" applyBorder="1" applyFont="1">
      <alignment horizontal="center"/>
    </xf>
    <xf borderId="133" fillId="0" fontId="2" numFmtId="0" xfId="0" applyBorder="1" applyFont="1"/>
    <xf borderId="5" fillId="11" fontId="43" numFmtId="1" xfId="0" applyBorder="1" applyFont="1" applyNumberFormat="1"/>
    <xf borderId="6" fillId="11" fontId="43" numFmtId="1" xfId="0" applyBorder="1" applyFont="1" applyNumberFormat="1"/>
    <xf borderId="7" fillId="11" fontId="43" numFmtId="1" xfId="0" applyBorder="1" applyFont="1" applyNumberFormat="1"/>
    <xf borderId="19" fillId="8" fontId="11" numFmtId="0" xfId="0" applyAlignment="1" applyBorder="1" applyFont="1">
      <alignment horizontal="left"/>
    </xf>
    <xf borderId="19" fillId="8" fontId="11" numFmtId="1" xfId="0" applyAlignment="1" applyBorder="1" applyFont="1" applyNumberFormat="1">
      <alignment horizontal="center"/>
    </xf>
    <xf borderId="25" fillId="16" fontId="67" numFmtId="0" xfId="0" applyBorder="1" applyFont="1"/>
    <xf borderId="90" fillId="8" fontId="11" numFmtId="20" xfId="0" applyBorder="1" applyFont="1" applyNumberFormat="1"/>
    <xf borderId="19" fillId="8" fontId="43" numFmtId="0" xfId="0" applyBorder="1" applyFont="1"/>
    <xf borderId="19" fillId="8" fontId="41" numFmtId="0" xfId="0" applyBorder="1" applyFont="1"/>
    <xf borderId="19" fillId="8" fontId="69" numFmtId="0" xfId="0" applyBorder="1" applyFont="1"/>
    <xf borderId="19" fillId="8" fontId="46" numFmtId="0" xfId="0" applyBorder="1" applyFont="1"/>
    <xf borderId="12" fillId="0" fontId="49" numFmtId="0" xfId="0" applyAlignment="1" applyBorder="1" applyFont="1">
      <alignment horizontal="center"/>
    </xf>
    <xf borderId="25" fillId="8" fontId="43" numFmtId="1" xfId="0" applyBorder="1" applyFont="1" applyNumberFormat="1"/>
    <xf borderId="89" fillId="8" fontId="43" numFmtId="0" xfId="0" applyBorder="1" applyFont="1"/>
    <xf borderId="89" fillId="8" fontId="43" numFmtId="1" xfId="0" applyBorder="1" applyFont="1" applyNumberFormat="1"/>
    <xf borderId="90" fillId="8" fontId="43" numFmtId="1" xfId="0" applyBorder="1" applyFont="1" applyNumberFormat="1"/>
    <xf borderId="44" fillId="10" fontId="11" numFmtId="0" xfId="0" applyBorder="1" applyFont="1"/>
    <xf borderId="19" fillId="10" fontId="11" numFmtId="0" xfId="0" applyBorder="1" applyFont="1"/>
    <xf borderId="44" fillId="10" fontId="56" numFmtId="0" xfId="0" applyAlignment="1" applyBorder="1" applyFont="1">
      <alignment horizontal="center"/>
    </xf>
    <xf borderId="134" fillId="10" fontId="11" numFmtId="0" xfId="0" applyBorder="1" applyFont="1"/>
    <xf borderId="135" fillId="29" fontId="70" numFmtId="0" xfId="0" applyAlignment="1" applyBorder="1" applyFill="1" applyFont="1">
      <alignment horizontal="center"/>
    </xf>
    <xf borderId="136" fillId="0" fontId="2" numFmtId="0" xfId="0" applyBorder="1" applyFont="1"/>
    <xf borderId="137" fillId="0" fontId="2" numFmtId="0" xfId="0" applyBorder="1" applyFont="1"/>
    <xf borderId="22" fillId="6" fontId="11" numFmtId="0" xfId="0" applyBorder="1" applyFont="1"/>
    <xf borderId="23" fillId="6" fontId="11" numFmtId="0" xfId="0" applyBorder="1" applyFont="1"/>
    <xf borderId="24" fillId="7" fontId="11" numFmtId="0" xfId="0" applyAlignment="1" applyBorder="1" applyFont="1">
      <alignment horizontal="center" vertical="center"/>
    </xf>
    <xf borderId="33" fillId="10" fontId="56" numFmtId="0" xfId="0" applyAlignment="1" applyBorder="1" applyFont="1">
      <alignment horizontal="center"/>
    </xf>
    <xf borderId="109" fillId="10" fontId="56" numFmtId="0" xfId="0" applyAlignment="1" applyBorder="1" applyFont="1">
      <alignment horizontal="center"/>
    </xf>
    <xf borderId="33" fillId="10" fontId="56" numFmtId="0" xfId="0" applyBorder="1" applyFont="1"/>
    <xf borderId="72" fillId="10" fontId="56" numFmtId="0" xfId="0" applyBorder="1" applyFont="1"/>
    <xf borderId="125" fillId="10" fontId="56" numFmtId="0" xfId="0" applyBorder="1" applyFont="1"/>
    <xf borderId="16" fillId="30" fontId="71" numFmtId="173" xfId="0" applyAlignment="1" applyBorder="1" applyFill="1" applyFont="1" applyNumberFormat="1">
      <alignment horizontal="center" vertical="center"/>
    </xf>
    <xf borderId="19" fillId="29" fontId="70" numFmtId="0" xfId="0" applyAlignment="1" applyBorder="1" applyFont="1">
      <alignment horizontal="center"/>
    </xf>
    <xf borderId="138" fillId="29" fontId="70" numFmtId="0" xfId="0" applyAlignment="1" applyBorder="1" applyFont="1">
      <alignment horizontal="center"/>
    </xf>
    <xf borderId="105" fillId="29" fontId="70" numFmtId="0" xfId="0" applyAlignment="1" applyBorder="1" applyFont="1">
      <alignment horizontal="center"/>
    </xf>
    <xf borderId="39" fillId="29" fontId="70" numFmtId="0" xfId="0" applyBorder="1" applyFont="1"/>
    <xf borderId="139" fillId="29" fontId="70" numFmtId="0" xfId="0" applyBorder="1" applyFont="1"/>
    <xf borderId="16" fillId="11" fontId="49" numFmtId="0" xfId="0" applyAlignment="1" applyBorder="1" applyFont="1">
      <alignment horizontal="center"/>
    </xf>
    <xf borderId="127" fillId="0" fontId="43" numFmtId="0" xfId="0" applyBorder="1" applyFont="1"/>
    <xf borderId="140" fillId="11" fontId="49" numFmtId="0" xfId="0" applyAlignment="1" applyBorder="1" applyFont="1">
      <alignment horizontal="center"/>
    </xf>
    <xf borderId="27" fillId="11" fontId="70" numFmtId="0" xfId="0" applyBorder="1" applyFont="1"/>
    <xf borderId="6" fillId="11" fontId="70" numFmtId="0" xfId="0" applyBorder="1" applyFont="1"/>
    <xf borderId="7" fillId="11" fontId="70" numFmtId="0" xfId="0" applyBorder="1" applyFont="1"/>
    <xf borderId="24" fillId="7" fontId="11" numFmtId="1" xfId="0" applyAlignment="1" applyBorder="1" applyFont="1" applyNumberFormat="1">
      <alignment horizontal="center" vertical="center"/>
    </xf>
    <xf borderId="16" fillId="0" fontId="49" numFmtId="0" xfId="0" applyAlignment="1" applyBorder="1" applyFont="1">
      <alignment horizontal="center"/>
    </xf>
    <xf borderId="6" fillId="0" fontId="43" numFmtId="0" xfId="0" applyBorder="1" applyFont="1"/>
    <xf borderId="94" fillId="0" fontId="49" numFmtId="0" xfId="0" applyAlignment="1" applyBorder="1" applyFont="1">
      <alignment horizontal="center"/>
    </xf>
    <xf borderId="9" fillId="0" fontId="70" numFmtId="0" xfId="0" applyBorder="1" applyFont="1"/>
    <xf borderId="6" fillId="0" fontId="70" numFmtId="0" xfId="0" applyBorder="1" applyFont="1"/>
    <xf borderId="7" fillId="0" fontId="70" numFmtId="0" xfId="0" applyBorder="1" applyFont="1"/>
    <xf borderId="23" fillId="6" fontId="11" numFmtId="0" xfId="0" applyAlignment="1" applyBorder="1" applyFont="1">
      <alignment horizontal="left"/>
    </xf>
    <xf borderId="24" fillId="7" fontId="11" numFmtId="1" xfId="0" applyAlignment="1" applyBorder="1" applyFont="1" applyNumberFormat="1">
      <alignment horizontal="center"/>
    </xf>
    <xf borderId="22" fillId="31" fontId="69" numFmtId="0" xfId="0" applyBorder="1" applyFill="1" applyFont="1"/>
    <xf borderId="23" fillId="31" fontId="46" numFmtId="0" xfId="0" applyBorder="1" applyFont="1"/>
    <xf borderId="24" fillId="31" fontId="46" numFmtId="0" xfId="0" applyBorder="1" applyFont="1"/>
    <xf borderId="13" fillId="0" fontId="70" numFmtId="0" xfId="0" applyBorder="1" applyFont="1"/>
    <xf borderId="89" fillId="0" fontId="70" numFmtId="0" xfId="0" applyBorder="1" applyFont="1"/>
    <xf borderId="90" fillId="0" fontId="70" numFmtId="0" xfId="0" applyBorder="1" applyFont="1"/>
    <xf borderId="96" fillId="0" fontId="49" numFmtId="0" xfId="0" applyAlignment="1" applyBorder="1" applyFont="1">
      <alignment horizontal="center"/>
    </xf>
    <xf borderId="19" fillId="11" fontId="43" numFmtId="1" xfId="0" applyBorder="1" applyFont="1" applyNumberFormat="1"/>
    <xf borderId="0" fillId="0" fontId="49" numFmtId="0" xfId="0" applyAlignment="1" applyFont="1">
      <alignment horizontal="center"/>
    </xf>
    <xf borderId="0" fillId="0" fontId="70" numFmtId="0" xfId="0" applyFont="1"/>
    <xf borderId="94" fillId="0" fontId="50" numFmtId="0" xfId="0" applyAlignment="1" applyBorder="1" applyFont="1">
      <alignment horizontal="center"/>
    </xf>
    <xf borderId="141" fillId="0" fontId="50" numFmtId="0" xfId="0" applyAlignment="1" applyBorder="1" applyFont="1">
      <alignment horizontal="center"/>
    </xf>
    <xf borderId="94" fillId="0" fontId="50" numFmtId="0" xfId="0" applyBorder="1" applyFont="1"/>
    <xf borderId="127" fillId="0" fontId="50" numFmtId="0" xfId="0" applyBorder="1" applyFont="1"/>
    <xf borderId="128" fillId="0" fontId="50" numFmtId="0" xfId="0" applyBorder="1" applyFont="1"/>
    <xf borderId="33" fillId="11" fontId="12" numFmtId="0" xfId="0" applyAlignment="1" applyBorder="1" applyFont="1">
      <alignment horizontal="center"/>
    </xf>
    <xf borderId="96" fillId="0" fontId="14" numFmtId="0" xfId="0" applyBorder="1" applyFont="1"/>
    <xf borderId="72" fillId="11" fontId="4" numFmtId="0" xfId="0" applyBorder="1" applyFont="1"/>
    <xf borderId="72" fillId="11" fontId="4" numFmtId="1" xfId="0" applyBorder="1" applyFont="1" applyNumberFormat="1"/>
    <xf borderId="94" fillId="0" fontId="12" numFmtId="0" xfId="0" applyAlignment="1" applyBorder="1" applyFont="1">
      <alignment horizontal="center"/>
    </xf>
    <xf borderId="80" fillId="11" fontId="12" numFmtId="0" xfId="0" applyAlignment="1" applyBorder="1" applyFont="1">
      <alignment horizontal="center"/>
    </xf>
    <xf borderId="31" fillId="0" fontId="14" numFmtId="0" xfId="0" applyBorder="1" applyFont="1"/>
    <xf borderId="106" fillId="0" fontId="12" numFmtId="0" xfId="0" applyAlignment="1" applyBorder="1" applyFont="1">
      <alignment horizontal="center"/>
    </xf>
    <xf borderId="12" fillId="0" fontId="12" numFmtId="0" xfId="0" applyAlignment="1" applyBorder="1" applyFont="1">
      <alignment horizontal="center"/>
    </xf>
    <xf borderId="108" fillId="0" fontId="14" numFmtId="0" xfId="0" applyBorder="1" applyFont="1"/>
    <xf borderId="19" fillId="8" fontId="4" numFmtId="0" xfId="0" applyAlignment="1" applyBorder="1" applyFont="1">
      <alignment horizontal="center"/>
    </xf>
    <xf borderId="19" fillId="8" fontId="12" numFmtId="0" xfId="0" applyAlignment="1" applyBorder="1" applyFont="1">
      <alignment horizontal="center"/>
    </xf>
    <xf borderId="19" fillId="8" fontId="12" numFmtId="0" xfId="0" applyBorder="1" applyFont="1"/>
    <xf borderId="19" fillId="5" fontId="4" numFmtId="49" xfId="0" applyBorder="1" applyFont="1" applyNumberFormat="1"/>
    <xf borderId="0" fillId="0" fontId="72" numFmtId="0" xfId="0" applyAlignment="1" applyFont="1">
      <alignment horizontal="center" shrinkToFit="0" vertical="top" wrapText="1"/>
    </xf>
    <xf borderId="0" fillId="0" fontId="72" numFmtId="0" xfId="0" applyAlignment="1" applyFont="1">
      <alignment shrinkToFit="0" vertical="top" wrapText="1"/>
    </xf>
    <xf borderId="6" fillId="0" fontId="4" numFmtId="49" xfId="0" applyBorder="1" applyFont="1" applyNumberFormat="1"/>
    <xf borderId="94" fillId="0" fontId="19" numFmtId="173" xfId="0" applyAlignment="1" applyBorder="1" applyFont="1" applyNumberFormat="1">
      <alignment horizontal="left" vertical="top"/>
    </xf>
    <xf borderId="99" fillId="0" fontId="4" numFmtId="173" xfId="0" applyAlignment="1" applyBorder="1" applyFont="1" applyNumberFormat="1">
      <alignment horizontal="center"/>
    </xf>
    <xf borderId="2" fillId="5" fontId="19" numFmtId="0" xfId="0" applyAlignment="1" applyBorder="1" applyFont="1">
      <alignment horizontal="center" vertical="top"/>
    </xf>
    <xf borderId="112" fillId="5" fontId="19" numFmtId="0" xfId="0" applyAlignment="1" applyBorder="1" applyFont="1">
      <alignment horizontal="center" vertical="top"/>
    </xf>
    <xf borderId="2" fillId="5" fontId="19" numFmtId="0" xfId="0" applyAlignment="1" applyBorder="1" applyFont="1">
      <alignment horizontal="center"/>
    </xf>
    <xf borderId="58" fillId="0" fontId="4" numFmtId="0" xfId="0" applyAlignment="1" applyBorder="1" applyFont="1">
      <alignment horizontal="left" vertical="top"/>
    </xf>
    <xf borderId="8" fillId="11" fontId="70" numFmtId="0" xfId="0" applyAlignment="1" applyBorder="1" applyFont="1">
      <alignment horizontal="center"/>
    </xf>
    <xf borderId="10" fillId="11" fontId="43" numFmtId="1" xfId="0" applyAlignment="1" applyBorder="1" applyFont="1" applyNumberFormat="1">
      <alignment horizontal="center"/>
    </xf>
    <xf borderId="6" fillId="11" fontId="43" numFmtId="0" xfId="0" applyAlignment="1" applyBorder="1" applyFont="1">
      <alignment horizontal="center"/>
    </xf>
    <xf borderId="58" fillId="0" fontId="4" numFmtId="173" xfId="0" applyAlignment="1" applyBorder="1" applyFont="1" applyNumberFormat="1">
      <alignment horizontal="left" vertical="top"/>
    </xf>
    <xf borderId="8" fillId="0" fontId="70" numFmtId="0" xfId="0" applyAlignment="1" applyBorder="1" applyFont="1">
      <alignment horizontal="center"/>
    </xf>
    <xf borderId="10" fillId="11" fontId="43" numFmtId="0" xfId="0" applyAlignment="1" applyBorder="1" applyFont="1">
      <alignment horizontal="center"/>
    </xf>
    <xf borderId="12" fillId="11" fontId="70" numFmtId="0" xfId="0" applyAlignment="1" applyBorder="1" applyFont="1">
      <alignment horizontal="center"/>
    </xf>
    <xf borderId="94" fillId="0" fontId="6" numFmtId="21" xfId="0" applyBorder="1" applyFont="1" applyNumberFormat="1"/>
    <xf borderId="96" fillId="0" fontId="6" numFmtId="21" xfId="0" applyBorder="1" applyFont="1" applyNumberFormat="1"/>
    <xf borderId="50" fillId="5" fontId="19" numFmtId="0" xfId="0" applyAlignment="1" applyBorder="1" applyFont="1">
      <alignment vertical="top"/>
    </xf>
    <xf borderId="52" fillId="5" fontId="19" numFmtId="0" xfId="0" applyAlignment="1" applyBorder="1" applyFont="1">
      <alignment vertical="top"/>
    </xf>
    <xf borderId="24" fillId="8" fontId="19" numFmtId="0" xfId="0" applyAlignment="1" applyBorder="1" applyFont="1">
      <alignment horizontal="center" vertical="top"/>
    </xf>
    <xf borderId="34" fillId="8" fontId="19" numFmtId="0" xfId="0" applyAlignment="1" applyBorder="1" applyFont="1">
      <alignment horizontal="center" vertical="top"/>
    </xf>
    <xf borderId="55" fillId="0" fontId="19" numFmtId="0" xfId="0" applyAlignment="1" applyBorder="1" applyFont="1">
      <alignment horizontal="left" vertical="top"/>
    </xf>
    <xf borderId="0" fillId="0" fontId="4" numFmtId="49" xfId="0" applyFont="1" applyNumberFormat="1"/>
    <xf borderId="120" fillId="20" fontId="4" numFmtId="0" xfId="0" applyBorder="1" applyFont="1"/>
    <xf borderId="79" fillId="5" fontId="19" numFmtId="0" xfId="0" applyAlignment="1" applyBorder="1" applyFont="1">
      <alignment horizontal="center" vertical="top"/>
    </xf>
    <xf borderId="139" fillId="5" fontId="19" numFmtId="0" xfId="0" applyAlignment="1" applyBorder="1" applyFont="1">
      <alignment horizontal="center" vertical="top"/>
    </xf>
    <xf borderId="102" fillId="14" fontId="19" numFmtId="0" xfId="0" applyAlignment="1" applyBorder="1" applyFont="1">
      <alignment horizontal="center" vertical="top"/>
    </xf>
    <xf borderId="112" fillId="14" fontId="19" numFmtId="0" xfId="0" applyAlignment="1" applyBorder="1" applyFont="1">
      <alignment horizontal="center" vertical="top"/>
    </xf>
    <xf borderId="120" fillId="14" fontId="19" numFmtId="0" xfId="0" applyAlignment="1" applyBorder="1" applyFont="1">
      <alignment horizontal="center" vertical="top"/>
    </xf>
    <xf borderId="55" fillId="0" fontId="4" numFmtId="173" xfId="0" applyAlignment="1" applyBorder="1" applyFont="1" applyNumberFormat="1">
      <alignment horizontal="left" vertical="top"/>
    </xf>
    <xf borderId="8" fillId="20" fontId="4" numFmtId="0" xfId="0" applyAlignment="1" applyBorder="1" applyFont="1">
      <alignment horizontal="left"/>
    </xf>
    <xf borderId="5" fillId="3" fontId="4" numFmtId="1" xfId="0" applyBorder="1" applyFont="1" applyNumberFormat="1"/>
    <xf borderId="7" fillId="3" fontId="4" numFmtId="1" xfId="0" applyBorder="1" applyFont="1" applyNumberFormat="1"/>
    <xf borderId="7" fillId="0" fontId="4" numFmtId="0" xfId="0" applyBorder="1" applyFont="1"/>
    <xf borderId="8" fillId="20" fontId="4" numFmtId="0" xfId="0" applyBorder="1" applyFont="1"/>
    <xf borderId="107" fillId="3" fontId="4" numFmtId="1" xfId="0" applyBorder="1" applyFont="1" applyNumberFormat="1"/>
    <xf borderId="142" fillId="16" fontId="4" numFmtId="1" xfId="0" applyBorder="1" applyFont="1" applyNumberFormat="1"/>
    <xf borderId="89" fillId="16" fontId="4" numFmtId="1" xfId="0" applyBorder="1" applyFont="1" applyNumberFormat="1"/>
    <xf borderId="90" fillId="16" fontId="4" numFmtId="49" xfId="0" applyBorder="1" applyFont="1" applyNumberFormat="1"/>
    <xf borderId="123" fillId="20" fontId="4" numFmtId="0" xfId="0" applyBorder="1" applyFont="1"/>
    <xf borderId="107" fillId="20" fontId="4" numFmtId="0" xfId="0" applyBorder="1" applyFont="1"/>
    <xf borderId="16" fillId="20" fontId="4" numFmtId="20" xfId="0" applyAlignment="1" applyBorder="1" applyFont="1" applyNumberFormat="1">
      <alignment horizontal="center"/>
    </xf>
    <xf borderId="96" fillId="0" fontId="4" numFmtId="20" xfId="0" applyAlignment="1" applyBorder="1" applyFont="1" applyNumberFormat="1">
      <alignment horizontal="center"/>
    </xf>
    <xf borderId="44" fillId="8" fontId="19" numFmtId="0" xfId="0" applyAlignment="1" applyBorder="1" applyFont="1">
      <alignment horizontal="center" vertical="top"/>
    </xf>
    <xf borderId="143" fillId="20" fontId="4" numFmtId="0" xfId="0" applyAlignment="1" applyBorder="1" applyFont="1">
      <alignment horizontal="left"/>
    </xf>
    <xf borderId="144" fillId="0" fontId="2" numFmtId="0" xfId="0" applyBorder="1" applyFont="1"/>
    <xf borderId="55" fillId="0" fontId="4" numFmtId="0" xfId="0" applyBorder="1" applyFont="1"/>
    <xf borderId="79" fillId="20" fontId="4" numFmtId="0" xfId="0" applyBorder="1" applyFont="1"/>
    <xf borderId="139" fillId="20" fontId="4" numFmtId="0" xfId="0" applyBorder="1" applyFont="1"/>
    <xf borderId="25" fillId="20" fontId="4" numFmtId="0" xfId="0" applyBorder="1" applyFont="1"/>
    <xf borderId="90" fillId="20" fontId="4" numFmtId="0" xfId="0" applyBorder="1" applyFont="1"/>
    <xf borderId="17" fillId="0" fontId="4" numFmtId="20" xfId="0" applyAlignment="1" applyBorder="1" applyFont="1" applyNumberFormat="1">
      <alignment horizontal="center"/>
    </xf>
    <xf borderId="88" fillId="0" fontId="4" numFmtId="0" xfId="0" applyBorder="1" applyFont="1"/>
    <xf borderId="145" fillId="8" fontId="4" numFmtId="0" xfId="0" applyBorder="1" applyFont="1"/>
    <xf borderId="146" fillId="0" fontId="2" numFmtId="0" xfId="0" applyBorder="1" applyFont="1"/>
    <xf borderId="19" fillId="8" fontId="4" numFmtId="20" xfId="0" applyBorder="1" applyFont="1" applyNumberFormat="1"/>
    <xf borderId="0" fillId="0" fontId="46" numFmtId="20" xfId="0" applyAlignment="1" applyFont="1" applyNumberFormat="1">
      <alignment horizontal="center" vertical="top"/>
    </xf>
    <xf borderId="0" fillId="0" fontId="46" numFmtId="0" xfId="0" applyAlignment="1" applyFont="1">
      <alignment horizontal="center" vertical="top"/>
    </xf>
    <xf borderId="0" fillId="0" fontId="6" numFmtId="20" xfId="0" applyFont="1" applyNumberFormat="1"/>
    <xf borderId="0" fillId="0" fontId="4" numFmtId="175" xfId="0" applyFont="1" applyNumberFormat="1"/>
    <xf borderId="55" fillId="0" fontId="4" numFmtId="20" xfId="0" applyAlignment="1" applyBorder="1" applyFont="1" applyNumberFormat="1">
      <alignment horizontal="left" vertical="top"/>
    </xf>
    <xf borderId="55" fillId="0" fontId="4" numFmtId="173" xfId="0" applyAlignment="1" applyBorder="1" applyFont="1" applyNumberFormat="1">
      <alignment horizontal="left" shrinkToFit="0" vertical="top" wrapText="1"/>
    </xf>
    <xf borderId="55" fillId="0" fontId="4" numFmtId="0" xfId="0" applyAlignment="1" applyBorder="1" applyFont="1">
      <alignment horizontal="left" vertical="top"/>
    </xf>
    <xf borderId="57" fillId="0" fontId="4" numFmtId="0" xfId="0" applyAlignment="1" applyBorder="1" applyFont="1">
      <alignment horizontal="left" vertical="top"/>
    </xf>
    <xf borderId="0" fillId="0" fontId="4" numFmtId="0" xfId="0" applyAlignment="1" applyFont="1">
      <alignment horizontal="left" vertical="top"/>
    </xf>
    <xf borderId="24" fillId="5" fontId="19" numFmtId="0" xfId="0" applyAlignment="1" applyBorder="1" applyFont="1">
      <alignment horizontal="center" vertical="top"/>
    </xf>
    <xf borderId="1" fillId="5" fontId="19" numFmtId="0" xfId="0" applyAlignment="1" applyBorder="1" applyFont="1">
      <alignment horizontal="center" vertical="top"/>
    </xf>
    <xf borderId="120" fillId="5" fontId="19" numFmtId="0" xfId="0" applyAlignment="1" applyBorder="1" applyFont="1">
      <alignment horizontal="center" vertical="top"/>
    </xf>
    <xf borderId="94" fillId="0" fontId="4" numFmtId="20" xfId="0" applyAlignment="1" applyBorder="1" applyFont="1" applyNumberFormat="1">
      <alignment horizontal="center"/>
    </xf>
    <xf borderId="0" fillId="0" fontId="19" numFmtId="1" xfId="0" applyFont="1" applyNumberFormat="1"/>
    <xf borderId="0" fillId="0" fontId="19" numFmtId="0" xfId="0" applyFont="1"/>
    <xf borderId="6" fillId="32" fontId="1" numFmtId="0" xfId="0" applyAlignment="1" applyBorder="1" applyFill="1" applyFont="1">
      <alignment horizontal="center" shrinkToFit="0" vertical="center" wrapText="1"/>
    </xf>
    <xf borderId="6" fillId="32" fontId="14" numFmtId="0" xfId="0" applyAlignment="1" applyBorder="1" applyFont="1">
      <alignment shrinkToFit="0" vertical="center" wrapText="1"/>
    </xf>
    <xf borderId="6" fillId="32" fontId="4" numFmtId="176" xfId="0" applyBorder="1" applyFont="1" applyNumberFormat="1"/>
    <xf borderId="6" fillId="12" fontId="14" numFmtId="1" xfId="0" applyAlignment="1" applyBorder="1" applyFont="1" applyNumberFormat="1">
      <alignment shrinkToFit="0" vertical="center" wrapText="1"/>
    </xf>
    <xf borderId="6" fillId="12" fontId="14" numFmtId="0" xfId="0" applyAlignment="1" applyBorder="1" applyFont="1">
      <alignment shrinkToFit="0" vertical="center" wrapText="1"/>
    </xf>
    <xf borderId="6" fillId="12" fontId="14" numFmtId="0" xfId="0" applyBorder="1" applyFont="1"/>
    <xf borderId="6" fillId="12" fontId="14" numFmtId="1" xfId="0" applyBorder="1" applyFont="1" applyNumberFormat="1"/>
    <xf borderId="0" fillId="0" fontId="14" numFmtId="0" xfId="0" applyAlignment="1" applyFont="1">
      <alignment shrinkToFit="0" vertical="center" wrapText="1"/>
    </xf>
    <xf borderId="6" fillId="3" fontId="14" numFmtId="20" xfId="0" applyAlignment="1" applyBorder="1" applyFont="1" applyNumberFormat="1">
      <alignment shrinkToFit="0" vertical="center" wrapText="1"/>
    </xf>
    <xf borderId="0" fillId="0" fontId="14" numFmtId="18" xfId="0" applyFont="1" applyNumberFormat="1"/>
  </cellXfs>
  <cellStyles count="1">
    <cellStyle xfId="0" name="Normal" builtinId="0"/>
  </cellStyles>
  <dxfs count="2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FFFFCC"/>
          <bgColor rgb="FFFFFFCC"/>
        </patternFill>
      </fill>
      <border/>
    </dxf>
    <dxf>
      <font/>
      <fill>
        <patternFill patternType="solid">
          <fgColor rgb="FFF2F2F2"/>
          <bgColor rgb="FFF2F2F2"/>
        </patternFill>
      </fill>
      <border/>
    </dxf>
    <dxf>
      <font/>
      <fill>
        <patternFill patternType="solid">
          <fgColor rgb="FFFFECAF"/>
          <bgColor rgb="FFFFECAF"/>
        </patternFill>
      </fill>
      <border/>
    </dxf>
    <dxf>
      <font/>
      <fill>
        <patternFill patternType="solid">
          <fgColor rgb="FFFDE9D9"/>
          <bgColor rgb="FFFDE9D9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EDEAF2"/>
          <bgColor rgb="FFEDEAF2"/>
        </patternFill>
      </fill>
      <border/>
    </dxf>
    <dxf>
      <font/>
      <fill>
        <patternFill patternType="solid">
          <fgColor rgb="FFE4DF98"/>
          <bgColor rgb="FFE4DF98"/>
        </patternFill>
      </fill>
      <border/>
    </dxf>
    <dxf>
      <font/>
      <fill>
        <patternFill patternType="solid">
          <fgColor rgb="FFABDBFF"/>
          <bgColor rgb="FFABDBFF"/>
        </patternFill>
      </fill>
      <border/>
    </dxf>
    <dxf>
      <font>
        <b/>
      </font>
      <fill>
        <patternFill patternType="solid">
          <fgColor rgb="FFFF6161"/>
          <bgColor rgb="FFFF6161"/>
        </patternFill>
      </fill>
      <border/>
    </dxf>
    <dxf>
      <font>
        <b/>
      </font>
      <fill>
        <patternFill patternType="solid">
          <fgColor rgb="FFFF5353"/>
          <bgColor rgb="FFFF5353"/>
        </patternFill>
      </fill>
      <border/>
    </dxf>
    <dxf>
      <font>
        <b/>
      </font>
      <fill>
        <patternFill patternType="solid">
          <fgColor rgb="FFFFC000"/>
          <bgColor rgb="FFFFC000"/>
        </patternFill>
      </fill>
      <border/>
    </dxf>
    <dxf>
      <font>
        <b/>
      </font>
      <fill>
        <patternFill patternType="solid">
          <fgColor rgb="FFFF7171"/>
          <bgColor rgb="FFFF7171"/>
        </patternFill>
      </fill>
      <border/>
    </dxf>
    <dxf>
      <font/>
      <fill>
        <patternFill patternType="solid">
          <fgColor rgb="FFAFDDFF"/>
          <bgColor rgb="FFAFDDFF"/>
        </patternFill>
      </fill>
      <border/>
    </dxf>
    <dxf>
      <font>
        <b/>
      </font>
      <fill>
        <patternFill patternType="solid">
          <fgColor rgb="FFFF7979"/>
          <bgColor rgb="FFFF7979"/>
        </patternFill>
      </fill>
      <border/>
    </dxf>
    <dxf>
      <font>
        <b/>
      </font>
      <fill>
        <patternFill patternType="solid">
          <fgColor rgb="FFFF8585"/>
          <bgColor rgb="FFFF8585"/>
        </patternFill>
      </fill>
      <border/>
    </dxf>
  </dxfs>
  <tableStyles count="1">
    <tableStyle count="4" pivot="0" name="timesheet-style">
      <tableStyleElement dxfId="1" type="headerRow"/>
      <tableStyleElement dxfId="2" type="firstRowStripe"/>
      <tableStyleElement dxfId="3" type="secondRowStripe"/>
      <tableStyleElement dxfId="1" type="totalRow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externalLink" Target="externalLinks/externalLink1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100">
                <a:solidFill>
                  <a:srgbClr val="757575"/>
                </a:solidFill>
                <a:latin typeface="Calibri"/>
              </a:defRPr>
            </a:pPr>
            <a:r>
              <a:rPr b="1" i="0" sz="1100">
                <a:solidFill>
                  <a:srgbClr val="757575"/>
                </a:solidFill>
                <a:latin typeface="Calibri"/>
              </a:rPr>
              <a:t>SHIFT PRODUCTION</a:t>
            </a:r>
          </a:p>
        </c:rich>
      </c:tx>
      <c:layout>
        <c:manualLayout>
          <c:xMode val="edge"/>
          <c:yMode val="edge"/>
          <c:x val="0.3533817998807314"/>
          <c:y val="0.01677884509388303"/>
        </c:manualLayout>
      </c:layout>
      <c:overlay val="0"/>
    </c:title>
    <c:plotArea>
      <c:layout>
        <c:manualLayout>
          <c:xMode val="edge"/>
          <c:yMode val="edge"/>
          <c:x val="0.20163497853581"/>
          <c:y val="0.5253756754539167"/>
          <c:w val="0.6931884707072166"/>
          <c:h val="0.33502246268296326"/>
        </c:manualLayout>
      </c:layout>
      <c:barChart>
        <c:barDir val="col"/>
        <c:ser>
          <c:idx val="0"/>
          <c:order val="0"/>
          <c:cat>
            <c:strRef>
              <c:f>DAILY!$P$20</c:f>
            </c:strRef>
          </c:cat>
          <c:val>
            <c:numRef>
              <c:f>DAILY!$T$21</c:f>
              <c:numCache/>
            </c:numRef>
          </c:val>
        </c:ser>
        <c:ser>
          <c:idx val="1"/>
          <c:order val="1"/>
          <c:cat>
            <c:strRef>
              <c:f>DAILY!$P$20</c:f>
            </c:strRef>
          </c:cat>
          <c:val>
            <c:numRef>
              <c:f>DAILY!$P$19</c:f>
              <c:numCache/>
            </c:numRef>
          </c:val>
        </c:ser>
        <c:axId val="814073276"/>
        <c:axId val="1450782510"/>
      </c:barChart>
      <c:catAx>
        <c:axId val="8140732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1" i="0" sz="700">
                <a:solidFill>
                  <a:srgbClr val="000000"/>
                </a:solidFill>
                <a:latin typeface="Calibri"/>
              </a:defRPr>
            </a:pPr>
          </a:p>
        </c:txPr>
        <c:crossAx val="1450782510"/>
      </c:catAx>
      <c:valAx>
        <c:axId val="1450782510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814073276"/>
      </c:valAx>
    </c:plotArea>
    <c:legend>
      <c:legendPos val="t"/>
      <c:layout>
        <c:manualLayout>
          <c:xMode val="edge"/>
          <c:yMode val="edge"/>
          <c:x val="0.3897052824859733"/>
          <c:y val="0.08555586701648366"/>
        </c:manualLayout>
      </c:layout>
      <c:overlay val="0"/>
      <c:txPr>
        <a:bodyPr/>
        <a:lstStyle/>
        <a:p>
          <a:pPr lvl="0">
            <a:defRPr b="1" i="0" sz="700">
              <a:solidFill>
                <a:srgbClr val="1A1A1A"/>
              </a:solidFill>
              <a:latin typeface="Calibri"/>
            </a:defRPr>
          </a:pPr>
        </a:p>
      </c:txPr>
    </c:legend>
    <c:plotVisOnly val="0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SHIFT PRODUCTION</a:t>
            </a:r>
          </a:p>
        </c:rich>
      </c:tx>
      <c:layout>
        <c:manualLayout>
          <c:xMode val="edge"/>
          <c:yMode val="edge"/>
          <c:x val="0.35338179988072976"/>
          <c:y val="0.01677884509388298"/>
        </c:manualLayout>
      </c:layout>
      <c:overlay val="0"/>
    </c:title>
    <c:plotArea>
      <c:layout>
        <c:manualLayout>
          <c:xMode val="edge"/>
          <c:yMode val="edge"/>
          <c:x val="0.3650577795243201"/>
          <c:y val="0.1679630290380072"/>
          <c:w val="0.5838673501162253"/>
          <c:h val="0.549587887035069"/>
        </c:manualLayout>
      </c:layout>
      <c:barChart>
        <c:barDir val="col"/>
        <c:ser>
          <c:idx val="0"/>
          <c:order val="0"/>
          <c:cat>
            <c:strRef>
              <c:f>DAILY!$P$20</c:f>
            </c:strRef>
          </c:cat>
          <c:val>
            <c:numRef>
              <c:f>DAILY!$T$21</c:f>
              <c:numCache/>
            </c:numRef>
          </c:val>
        </c:ser>
        <c:ser>
          <c:idx val="1"/>
          <c:order val="1"/>
          <c:cat>
            <c:strRef>
              <c:f>DAILY!$P$20</c:f>
            </c:strRef>
          </c:cat>
          <c:val>
            <c:numRef>
              <c:f>DAILY!$P$19</c:f>
              <c:numCache/>
            </c:numRef>
          </c:val>
        </c:ser>
        <c:axId val="480484125"/>
        <c:axId val="560234563"/>
      </c:barChart>
      <c:catAx>
        <c:axId val="4804841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1" i="0" sz="700">
                <a:solidFill>
                  <a:srgbClr val="000000"/>
                </a:solidFill>
                <a:latin typeface="+mn-lt"/>
              </a:defRPr>
            </a:pPr>
          </a:p>
        </c:txPr>
        <c:crossAx val="560234563"/>
      </c:catAx>
      <c:valAx>
        <c:axId val="560234563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480484125"/>
      </c:valAx>
    </c:plotArea>
    <c:legend>
      <c:legendPos val="t"/>
      <c:layout>
        <c:manualLayout>
          <c:xMode val="edge"/>
          <c:yMode val="edge"/>
          <c:x val="0.3897052824859731"/>
          <c:y val="0.08555586701648289"/>
        </c:manualLayout>
      </c:layout>
      <c:overlay val="0"/>
      <c:txPr>
        <a:bodyPr/>
        <a:lstStyle/>
        <a:p>
          <a:pPr lvl="0">
            <a:defRPr b="1" i="0" sz="700">
              <a:solidFill>
                <a:srgbClr val="1A1A1A"/>
              </a:solidFill>
              <a:latin typeface="+mn-lt"/>
            </a:defRPr>
          </a:pPr>
        </a:p>
      </c:txPr>
    </c:legend>
    <c:plotVisOnly val="0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LOGSHEET!A1" TargetMode="External"/><Relationship Id="rId2" Type="http://schemas.openxmlformats.org/officeDocument/2006/relationships/image" Target="../media/image1.png"/><Relationship Id="rId3" Type="http://schemas.openxmlformats.org/officeDocument/2006/relationships/image" Target="../media/image2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66675</xdr:colOff>
      <xdr:row>33</xdr:row>
      <xdr:rowOff>47625</xdr:rowOff>
    </xdr:from>
    <xdr:ext cx="1666875" cy="295275"/>
    <xdr:sp>
      <xdr:nvSpPr>
        <xdr:cNvPr id="3" name="Shape 3">
          <a:hlinkClick r:id="rId1"/>
        </xdr:cNvPr>
        <xdr:cNvSpPr/>
      </xdr:nvSpPr>
      <xdr:spPr>
        <a:xfrm>
          <a:off x="4523040" y="3642840"/>
          <a:ext cx="1645920" cy="27432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r" dir="81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libri"/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Go To LogSheet</a:t>
          </a:r>
          <a:endParaRPr sz="1400"/>
        </a:p>
      </xdr:txBody>
    </xdr:sp>
    <xdr:clientData fLocksWithSheet="0"/>
  </xdr:oneCellAnchor>
  <xdr:oneCellAnchor>
    <xdr:from>
      <xdr:col>7</xdr:col>
      <xdr:colOff>419100</xdr:colOff>
      <xdr:row>33</xdr:row>
      <xdr:rowOff>47625</xdr:rowOff>
    </xdr:from>
    <xdr:ext cx="1666875" cy="295275"/>
    <xdr:sp>
      <xdr:nvSpPr>
        <xdr:cNvPr id="4" name="Shape 4"/>
        <xdr:cNvSpPr/>
      </xdr:nvSpPr>
      <xdr:spPr>
        <a:xfrm>
          <a:off x="4523040" y="3642840"/>
          <a:ext cx="1645920" cy="27432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r" dir="81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libri"/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Go To Data Entry</a:t>
          </a:r>
          <a:endParaRPr sz="1400"/>
        </a:p>
      </xdr:txBody>
    </xdr:sp>
    <xdr:clientData fLocksWithSheet="0"/>
  </xdr:oneCellAnchor>
  <xdr:oneCellAnchor>
    <xdr:from>
      <xdr:col>11</xdr:col>
      <xdr:colOff>419100</xdr:colOff>
      <xdr:row>37</xdr:row>
      <xdr:rowOff>38100</xdr:rowOff>
    </xdr:from>
    <xdr:ext cx="3114675" cy="7143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209550</xdr:colOff>
      <xdr:row>33</xdr:row>
      <xdr:rowOff>19050</xdr:rowOff>
    </xdr:from>
    <xdr:ext cx="1552575" cy="361950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323850</xdr:colOff>
      <xdr:row>32</xdr:row>
      <xdr:rowOff>38100</xdr:rowOff>
    </xdr:from>
    <xdr:ext cx="6419850" cy="361950"/>
    <xdr:grpSp>
      <xdr:nvGrpSpPr>
        <xdr:cNvPr id="2" name="Shape 2"/>
        <xdr:cNvGrpSpPr/>
      </xdr:nvGrpSpPr>
      <xdr:grpSpPr>
        <a:xfrm>
          <a:off x="2136075" y="3599025"/>
          <a:ext cx="6419850" cy="361950"/>
          <a:chOff x="2136075" y="3599025"/>
          <a:chExt cx="6419850" cy="361950"/>
        </a:xfrm>
      </xdr:grpSpPr>
      <xdr:grpSp>
        <xdr:nvGrpSpPr>
          <xdr:cNvPr id="5" name="Shape 5"/>
          <xdr:cNvGrpSpPr/>
        </xdr:nvGrpSpPr>
        <xdr:grpSpPr>
          <a:xfrm>
            <a:off x="2136075" y="3599025"/>
            <a:ext cx="6419850" cy="361950"/>
            <a:chOff x="917982" y="6536022"/>
            <a:chExt cx="5818131" cy="365760"/>
          </a:xfrm>
        </xdr:grpSpPr>
        <xdr:sp>
          <xdr:nvSpPr>
            <xdr:cNvPr id="6" name="Shape 6"/>
            <xdr:cNvSpPr/>
          </xdr:nvSpPr>
          <xdr:spPr>
            <a:xfrm>
              <a:off x="917982" y="6536022"/>
              <a:ext cx="5818125" cy="3657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7" name="Shape 7"/>
            <xdr:cNvSpPr/>
          </xdr:nvSpPr>
          <xdr:spPr>
            <a:xfrm>
              <a:off x="917982" y="6536022"/>
              <a:ext cx="1737360" cy="36576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 cap="flat" cmpd="sng" w="25400">
              <a:solidFill>
                <a:srgbClr val="395E89"/>
              </a:solidFill>
              <a:prstDash val="solid"/>
              <a:round/>
              <a:headEnd len="sm" w="sm" type="none"/>
              <a:tailEnd len="sm" w="sm" type="none"/>
            </a:ln>
            <a:effectLst>
              <a:outerShdw blurRad="50800" rotWithShape="0" algn="tr" dir="8100000" dist="38100">
                <a:srgbClr val="000000">
                  <a:alpha val="40000"/>
                </a:srgbClr>
              </a:outerShdw>
            </a:effectLst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Clr>
                  <a:schemeClr val="lt1"/>
                </a:buClr>
                <a:buSzPts val="1200"/>
                <a:buFont typeface="Calibri"/>
                <a:buNone/>
              </a:pPr>
              <a:r>
                <a:rPr b="1" lang="en-US" sz="12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Go To Data Entry </a:t>
              </a:r>
              <a:endParaRPr b="1" sz="1200"/>
            </a:p>
          </xdr:txBody>
        </xdr:sp>
        <xdr:sp>
          <xdr:nvSpPr>
            <xdr:cNvPr id="8" name="Shape 8"/>
            <xdr:cNvSpPr/>
          </xdr:nvSpPr>
          <xdr:spPr>
            <a:xfrm>
              <a:off x="4998753" y="6536022"/>
              <a:ext cx="1737360" cy="365760"/>
            </a:xfrm>
            <a:prstGeom prst="roundRect">
              <a:avLst>
                <a:gd fmla="val 16667" name="adj"/>
              </a:avLst>
            </a:prstGeom>
            <a:solidFill>
              <a:schemeClr val="accent2"/>
            </a:solidFill>
            <a:ln cap="flat" cmpd="sng" w="25400">
              <a:solidFill>
                <a:srgbClr val="8C3A38"/>
              </a:solidFill>
              <a:prstDash val="solid"/>
              <a:round/>
              <a:headEnd len="sm" w="sm" type="none"/>
              <a:tailEnd len="sm" w="sm" type="none"/>
            </a:ln>
            <a:effectLst>
              <a:outerShdw blurRad="50800" rotWithShape="0" algn="tr" dir="8100000" dist="38100">
                <a:srgbClr val="000000">
                  <a:alpha val="40000"/>
                </a:srgbClr>
              </a:outerShdw>
            </a:effectLst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Clr>
                  <a:schemeClr val="lt1"/>
                </a:buClr>
                <a:buSzPts val="1200"/>
                <a:buFont typeface="Calibri"/>
                <a:buNone/>
              </a:pPr>
              <a:r>
                <a:rPr b="1" lang="en-US" sz="12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MENU</a:t>
              </a:r>
              <a:endParaRPr b="1" sz="1200"/>
            </a:p>
          </xdr:txBody>
        </xdr:sp>
        <xdr:sp>
          <xdr:nvSpPr>
            <xdr:cNvPr id="9" name="Shape 9"/>
            <xdr:cNvSpPr/>
          </xdr:nvSpPr>
          <xdr:spPr>
            <a:xfrm>
              <a:off x="2958367" y="6536022"/>
              <a:ext cx="1737360" cy="365760"/>
            </a:xfrm>
            <a:prstGeom prst="roundRect">
              <a:avLst>
                <a:gd fmla="val 16667" name="adj"/>
              </a:avLst>
            </a:prstGeom>
            <a:solidFill>
              <a:schemeClr val="accent1"/>
            </a:solidFill>
            <a:ln cap="flat" cmpd="sng" w="25400">
              <a:solidFill>
                <a:srgbClr val="395E89"/>
              </a:solidFill>
              <a:prstDash val="solid"/>
              <a:round/>
              <a:headEnd len="sm" w="sm" type="none"/>
              <a:tailEnd len="sm" w="sm" type="none"/>
            </a:ln>
            <a:effectLst>
              <a:outerShdw blurRad="50800" rotWithShape="0" algn="tr" dir="8100000" dist="38100">
                <a:srgbClr val="000000">
                  <a:alpha val="40000"/>
                </a:srgbClr>
              </a:outerShdw>
            </a:effectLst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Clr>
                  <a:schemeClr val="lt1"/>
                </a:buClr>
                <a:buSzPts val="1200"/>
                <a:buFont typeface="Calibri"/>
                <a:buNone/>
              </a:pPr>
              <a:r>
                <a:rPr b="1" lang="en-US" sz="12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 Go To TimeSheet</a:t>
              </a:r>
              <a:endParaRPr b="1" sz="1200"/>
            </a:p>
          </xdr:txBody>
        </xdr:sp>
      </xdr:grp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15</xdr:row>
      <xdr:rowOff>76200</xdr:rowOff>
    </xdr:from>
    <xdr:ext cx="1428750" cy="1333500"/>
    <xdr:graphicFrame>
      <xdr:nvGraphicFramePr>
        <xdr:cNvPr id="1895157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0</xdr:colOff>
      <xdr:row>14</xdr:row>
      <xdr:rowOff>171450</xdr:rowOff>
    </xdr:from>
    <xdr:ext cx="2095500" cy="1409700"/>
    <xdr:graphicFrame>
      <xdr:nvGraphicFramePr>
        <xdr:cNvPr id="1561225091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4</xdr:col>
      <xdr:colOff>381000</xdr:colOff>
      <xdr:row>14</xdr:row>
      <xdr:rowOff>47625</xdr:rowOff>
    </xdr:from>
    <xdr:ext cx="1457325" cy="228600"/>
    <xdr:sp>
      <xdr:nvSpPr>
        <xdr:cNvPr id="10" name="Shape 10"/>
        <xdr:cNvSpPr/>
      </xdr:nvSpPr>
      <xdr:spPr>
        <a:xfrm>
          <a:off x="4626863" y="3675225"/>
          <a:ext cx="1438275" cy="20955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" dir="54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b="0" i="0" lang="en-US" sz="1100" u="none" cap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Go To LogSheet </a:t>
          </a:r>
          <a:endParaRPr sz="11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10</xdr:col>
      <xdr:colOff>323850</xdr:colOff>
      <xdr:row>14</xdr:row>
      <xdr:rowOff>47625</xdr:rowOff>
    </xdr:from>
    <xdr:ext cx="1457325" cy="228600"/>
    <xdr:sp>
      <xdr:nvSpPr>
        <xdr:cNvPr id="11" name="Shape 11"/>
        <xdr:cNvSpPr/>
      </xdr:nvSpPr>
      <xdr:spPr>
        <a:xfrm>
          <a:off x="4626863" y="3675225"/>
          <a:ext cx="1438275" cy="20955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" dir="54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200"/>
            <a:buFont typeface="Calibri"/>
            <a:buNone/>
          </a:pPr>
          <a:r>
            <a:rPr b="0" i="0" lang="en-US" sz="1100" u="none" cap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Submit</a:t>
          </a:r>
          <a:endParaRPr sz="11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13</xdr:col>
      <xdr:colOff>304800</xdr:colOff>
      <xdr:row>14</xdr:row>
      <xdr:rowOff>47625</xdr:rowOff>
    </xdr:from>
    <xdr:ext cx="1457325" cy="228600"/>
    <xdr:sp>
      <xdr:nvSpPr>
        <xdr:cNvPr id="12" name="Shape 12"/>
        <xdr:cNvSpPr/>
      </xdr:nvSpPr>
      <xdr:spPr>
        <a:xfrm>
          <a:off x="4626863" y="3675225"/>
          <a:ext cx="1438275" cy="20955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" dir="54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200"/>
            <a:buFont typeface="Calibri"/>
            <a:buNone/>
          </a:pPr>
          <a:r>
            <a:rPr b="0" i="0" lang="en-US" sz="1100" u="none" cap="none" strike="noStrik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Clear Data </a:t>
          </a:r>
          <a:endParaRPr sz="11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7</xdr:col>
      <xdr:colOff>361950</xdr:colOff>
      <xdr:row>14</xdr:row>
      <xdr:rowOff>47625</xdr:rowOff>
    </xdr:from>
    <xdr:ext cx="1466850" cy="228600"/>
    <xdr:sp>
      <xdr:nvSpPr>
        <xdr:cNvPr id="13" name="Shape 13"/>
        <xdr:cNvSpPr/>
      </xdr:nvSpPr>
      <xdr:spPr>
        <a:xfrm>
          <a:off x="4626863" y="3675225"/>
          <a:ext cx="1438275" cy="20955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  <a:effectLst>
          <a:outerShdw blurRad="50800" rotWithShape="0" algn="t" dir="54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Go To TimeSheet</a:t>
          </a:r>
          <a:endParaRPr sz="11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</xdr:col>
      <xdr:colOff>257175</xdr:colOff>
      <xdr:row>1</xdr:row>
      <xdr:rowOff>9525</xdr:rowOff>
    </xdr:from>
    <xdr:ext cx="4924425" cy="238125"/>
    <xdr:sp>
      <xdr:nvSpPr>
        <xdr:cNvPr id="14" name="Shape 14"/>
        <xdr:cNvSpPr/>
      </xdr:nvSpPr>
      <xdr:spPr>
        <a:xfrm>
          <a:off x="2883788" y="3660938"/>
          <a:ext cx="4924425" cy="2381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257175</xdr:colOff>
      <xdr:row>1</xdr:row>
      <xdr:rowOff>9525</xdr:rowOff>
    </xdr:from>
    <xdr:ext cx="4924425" cy="238125"/>
    <xdr:sp>
      <xdr:nvSpPr>
        <xdr:cNvPr id="15" name="Shape 15"/>
        <xdr:cNvSpPr/>
      </xdr:nvSpPr>
      <xdr:spPr>
        <a:xfrm>
          <a:off x="2883788" y="3660938"/>
          <a:ext cx="4924425" cy="2381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342900</xdr:colOff>
      <xdr:row>1</xdr:row>
      <xdr:rowOff>9525</xdr:rowOff>
    </xdr:from>
    <xdr:ext cx="4838700" cy="238125"/>
    <xdr:sp>
      <xdr:nvSpPr>
        <xdr:cNvPr id="16" name="Shape 16"/>
        <xdr:cNvSpPr/>
      </xdr:nvSpPr>
      <xdr:spPr>
        <a:xfrm>
          <a:off x="2931413" y="3660938"/>
          <a:ext cx="4829175" cy="2381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20</xdr:col>
      <xdr:colOff>19050</xdr:colOff>
      <xdr:row>2</xdr:row>
      <xdr:rowOff>152400</xdr:rowOff>
    </xdr:from>
    <xdr:ext cx="552450" cy="228600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\Users\Lenovo\Downloads\REPORT_HOME_LOGSHEET(PLC+SAP)_180623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_com.sap.ip.bi.xl.hiddensheet"/>
      <sheetName val="Sheet1"/>
      <sheetName val="timesheet"/>
      <sheetName val="LOGSHEET"/>
      <sheetName val="DAILY"/>
      <sheetName val="REPORT"/>
      <sheetName val="LOGSHEET FOR RECORD"/>
      <sheetName val="RECORD2"/>
      <sheetName val="CondForm"/>
      <sheetName val="RECORD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totalsRowCount="1" ref="B5:Y18" displayName="Table_1" name="Table_1" id="1">
  <tableColumns count="24">
    <tableColumn name="START" id="1"/>
    <tableColumn name="STOP" id="2"/>
    <tableColumn totalsRowFunction="custom" name="TOTAL" id="3"/>
    <tableColumn name="START2" id="4"/>
    <tableColumn name="STOP3" id="5"/>
    <tableColumn totalsRowFunction="custom" name="TOTAL4" id="6"/>
    <tableColumn name="START5" id="7"/>
    <tableColumn name="STOP6" id="8"/>
    <tableColumn totalsRowFunction="custom" name="TOTAL7" id="9"/>
    <tableColumn name="START8" id="10"/>
    <tableColumn name="STOP9" id="11"/>
    <tableColumn totalsRowFunction="custom" name="TOTAL10" id="12"/>
    <tableColumn name="START11" id="13"/>
    <tableColumn name="STOP12" id="14"/>
    <tableColumn totalsRowFunction="custom" name="TOTAL13" id="15"/>
    <tableColumn name="START14" id="16"/>
    <tableColumn name="STOP15" id="17"/>
    <tableColumn totalsRowFunction="custom" name="TOTAL16" id="18"/>
    <tableColumn name="START17" id="19"/>
    <tableColumn name="STOP18" id="20"/>
    <tableColumn totalsRowFunction="custom" name="TOTAL19" id="21"/>
    <tableColumn name="START20" id="22"/>
    <tableColumn name="STOP21" id="23"/>
    <tableColumn totalsRowFunction="custom" name="TOTAL22" id="24"/>
  </tableColumns>
  <tableStyleInfo name="timeshee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2.63" defaultRowHeight="15.0"/>
  <cols>
    <col customWidth="1" min="1" max="4" width="6.63"/>
    <col customWidth="1" min="5" max="26" width="8.63"/>
  </cols>
  <sheetData>
    <row r="1" ht="15.0" customHeight="1">
      <c r="A1" s="1" t="s">
        <v>0</v>
      </c>
      <c r="B1" s="2">
        <f>DAILY!T4</f>
        <v>46109</v>
      </c>
      <c r="C1" s="3"/>
      <c r="D1" s="4"/>
    </row>
    <row r="2" ht="15.0" customHeight="1">
      <c r="A2" s="5" t="s">
        <v>1</v>
      </c>
      <c r="B2" s="6" t="s">
        <v>2</v>
      </c>
      <c r="C2" s="6" t="s">
        <v>3</v>
      </c>
      <c r="D2" s="7" t="s">
        <v>4</v>
      </c>
    </row>
    <row r="3" ht="15.0" customHeight="1">
      <c r="A3" s="5" t="s">
        <v>5</v>
      </c>
      <c r="B3" s="8">
        <f>DAILY!I19</f>
        <v>15540</v>
      </c>
      <c r="C3" s="9">
        <f>DAILY!J19</f>
        <v>16210</v>
      </c>
      <c r="D3" s="10">
        <f>DAILY!K19</f>
        <v>0</v>
      </c>
    </row>
    <row r="4" ht="15.0" customHeight="1">
      <c r="A4" s="11" t="s">
        <v>6</v>
      </c>
      <c r="B4" s="12"/>
      <c r="C4" s="13">
        <f>B3+C3+D3</f>
        <v>31750</v>
      </c>
      <c r="D4" s="14"/>
    </row>
    <row r="5" ht="15.0" customHeight="1">
      <c r="A5" s="11" t="s">
        <v>7</v>
      </c>
      <c r="B5" s="12"/>
      <c r="C5" s="15" t="s">
        <v>8</v>
      </c>
      <c r="D5" s="16"/>
    </row>
    <row r="6" ht="15.0" customHeight="1">
      <c r="A6" s="11" t="str">
        <f>CONCATENATE(MROUND(DAILY!E28/100000,0.1),"L","/", "Month")</f>
        <v>12.8L/Month</v>
      </c>
      <c r="B6" s="12"/>
      <c r="C6" s="15" t="str">
        <f>CONCATENATE(MROUND(DAILY!M19/100000,0.1),"L","/"," ", "Month")</f>
        <v>6.7L/ Month</v>
      </c>
      <c r="D6" s="16"/>
    </row>
    <row r="7" ht="15.0" customHeight="1">
      <c r="A7" s="17" t="s">
        <v>9</v>
      </c>
      <c r="B7" s="12"/>
      <c r="C7" s="18">
        <f>DAILY!E27</f>
        <v>4</v>
      </c>
      <c r="D7" s="16"/>
    </row>
    <row r="8" ht="15.0" customHeight="1">
      <c r="A8" s="19" t="s">
        <v>10</v>
      </c>
      <c r="B8" s="20"/>
      <c r="C8" s="21">
        <f>DAILY!E31</f>
        <v>151600</v>
      </c>
      <c r="D8" s="22"/>
    </row>
    <row r="9" ht="54.75" customHeight="1">
      <c r="A9" s="23" t="s">
        <v>11</v>
      </c>
      <c r="B9" s="24"/>
      <c r="C9" s="24"/>
      <c r="D9" s="25"/>
    </row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1">
    <mergeCell ref="A7:B7"/>
    <mergeCell ref="A8:B8"/>
    <mergeCell ref="C8:D8"/>
    <mergeCell ref="A9:D9"/>
    <mergeCell ref="B1:D1"/>
    <mergeCell ref="A4:B4"/>
    <mergeCell ref="A5:B5"/>
    <mergeCell ref="C5:D5"/>
    <mergeCell ref="A6:B6"/>
    <mergeCell ref="C6:D6"/>
    <mergeCell ref="C7:D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92D050"/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6" width="7.63"/>
    <col customWidth="1" min="27" max="30" width="3.25"/>
    <col customWidth="1" min="31" max="31" width="5.13"/>
    <col customWidth="1" min="32" max="37" width="3.25"/>
    <col customWidth="1" min="38" max="38" width="9.0"/>
    <col customWidth="1" min="39" max="39" width="19.25"/>
    <col customWidth="1" min="40" max="40" width="6.25"/>
    <col customWidth="1" min="41" max="41" width="4.88"/>
    <col customWidth="1" min="42" max="42" width="5.13"/>
    <col customWidth="1" min="43" max="43" width="9.13"/>
    <col customWidth="1" min="44" max="44" width="8.25"/>
    <col customWidth="1" min="45" max="45" width="10.13"/>
    <col customWidth="1" min="46" max="46" width="8.0"/>
    <col customWidth="1" min="47" max="47" width="8.63"/>
    <col customWidth="1" min="48" max="48" width="6.0"/>
    <col customWidth="1" min="49" max="49" width="8.38"/>
    <col customWidth="1" min="50" max="50" width="9.5"/>
    <col customWidth="1" min="51" max="51" width="9.13"/>
    <col customWidth="1" min="52" max="52" width="8.13"/>
    <col customWidth="1" min="53" max="53" width="4.75"/>
    <col customWidth="1" min="54" max="54" width="7.5"/>
    <col customWidth="1" min="55" max="55" width="4.75"/>
    <col customWidth="1" min="56" max="56" width="8.0"/>
    <col customWidth="1" min="57" max="57" width="10.63"/>
    <col customWidth="1" min="58" max="58" width="5.25"/>
    <col customWidth="1" min="59" max="59" width="8.0"/>
    <col customWidth="1" min="60" max="60" width="11.0"/>
    <col customWidth="1" min="61" max="61" width="4.88"/>
    <col customWidth="1" min="62" max="62" width="8.0"/>
    <col customWidth="1" min="63" max="63" width="11.0"/>
    <col customWidth="1" min="64" max="64" width="5.25"/>
    <col customWidth="1" min="65" max="65" width="8.0"/>
    <col customWidth="1" min="66" max="66" width="11.13"/>
    <col customWidth="1" min="67" max="67" width="4.75"/>
    <col customWidth="1" min="68" max="68" width="11.88"/>
    <col customWidth="1" min="69" max="69" width="4.75"/>
    <col customWidth="1" min="70" max="70" width="13.38"/>
    <col customWidth="1" min="71" max="71" width="4.75"/>
    <col customWidth="1" min="72" max="72" width="13.25"/>
    <col customWidth="1" min="73" max="73" width="5.25"/>
    <col customWidth="1" min="74" max="74" width="13.25"/>
    <col customWidth="1" min="75" max="75" width="4.75"/>
    <col customWidth="1" min="76" max="76" width="10.38"/>
    <col customWidth="1" min="77" max="77" width="5.25"/>
    <col customWidth="1" min="78" max="78" width="10.25"/>
    <col customWidth="1" min="79" max="79" width="4.75"/>
    <col customWidth="1" min="80" max="80" width="10.25"/>
    <col customWidth="1" min="81" max="81" width="5.25"/>
    <col customWidth="1" min="82" max="82" width="10.38"/>
    <col customWidth="1" min="83" max="83" width="5.25"/>
    <col customWidth="1" min="84" max="84" width="10.25"/>
    <col customWidth="1" min="85" max="85" width="4.88"/>
    <col customWidth="1" min="86" max="86" width="10.88"/>
    <col customWidth="1" min="87" max="87" width="5.25"/>
    <col customWidth="1" min="88" max="88" width="10.0"/>
    <col customWidth="1" min="89" max="89" width="5.25"/>
    <col customWidth="1" min="90" max="90" width="9.88"/>
    <col customWidth="1" min="91" max="91" width="5.25"/>
    <col customWidth="1" min="92" max="92" width="9.88"/>
    <col customWidth="1" min="93" max="93" width="5.25"/>
    <col customWidth="1" min="94" max="94" width="10.0"/>
    <col customWidth="1" min="95" max="95" width="8.0"/>
    <col customWidth="1" min="96" max="96" width="8.38"/>
    <col customWidth="1" min="97" max="99" width="8.0"/>
    <col customWidth="1" min="100" max="100" width="9.5"/>
    <col customWidth="1" min="101" max="102" width="8.0"/>
    <col customWidth="1" min="103" max="103" width="13.88"/>
    <col customWidth="1" min="104" max="104" width="8.0"/>
  </cols>
  <sheetData>
    <row r="1" ht="15.0" customHeight="1">
      <c r="A1" s="26"/>
      <c r="B1" s="26"/>
      <c r="C1" s="26"/>
      <c r="D1" s="27"/>
      <c r="E1" s="27"/>
      <c r="F1" s="27"/>
      <c r="G1" s="26"/>
      <c r="H1" s="26"/>
      <c r="I1" s="26"/>
      <c r="J1" s="27"/>
      <c r="K1" s="27"/>
      <c r="L1" s="27"/>
      <c r="M1" s="27"/>
      <c r="N1" s="27"/>
      <c r="O1" s="26"/>
      <c r="P1" s="26"/>
      <c r="Q1" s="26"/>
      <c r="R1" s="26"/>
      <c r="S1" s="26"/>
      <c r="T1" s="28" t="s">
        <v>12</v>
      </c>
      <c r="U1" s="29" t="str">
        <f>VLOOKUP(T1:T2,DAILY!R3:T4,3,0)</f>
        <v>3rd</v>
      </c>
      <c r="V1" s="30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 t="s">
        <v>13</v>
      </c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31"/>
      <c r="BC1" s="31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32"/>
      <c r="CS1" s="26"/>
      <c r="CT1" s="26"/>
      <c r="CU1" s="26"/>
      <c r="CV1" s="32"/>
      <c r="CW1" s="26"/>
      <c r="CX1" s="26"/>
      <c r="CY1" s="26"/>
      <c r="CZ1" s="26"/>
    </row>
    <row r="2" ht="18.0" customHeight="1">
      <c r="A2" s="26"/>
      <c r="B2" s="33">
        <f t="shared" ref="B2:C2" si="1">COUNT(K21:K30)</f>
        <v>0</v>
      </c>
      <c r="C2" s="33">
        <f t="shared" si="1"/>
        <v>0</v>
      </c>
      <c r="D2" s="34">
        <f>IF(AND(B2=0,C2=0,M2=0),0,1)</f>
        <v>0</v>
      </c>
      <c r="E2" s="27"/>
      <c r="F2" s="27"/>
      <c r="G2" s="35" t="s">
        <v>14</v>
      </c>
      <c r="H2" s="36"/>
      <c r="I2" s="37"/>
      <c r="J2" s="27"/>
      <c r="K2" s="34">
        <f t="shared" ref="K2:L2" si="2">COUNT(B21:B30)</f>
        <v>0</v>
      </c>
      <c r="L2" s="34">
        <f t="shared" si="2"/>
        <v>0</v>
      </c>
      <c r="M2" s="34">
        <f>IF(AND(K2=0,L2=0),0,1)</f>
        <v>0</v>
      </c>
      <c r="N2" s="27"/>
      <c r="O2" s="26"/>
      <c r="P2" s="26"/>
      <c r="Q2" s="26"/>
      <c r="R2" s="26"/>
      <c r="S2" s="26"/>
      <c r="T2" s="38" t="s">
        <v>15</v>
      </c>
      <c r="U2" s="39">
        <f>VLOOKUP(T1:T2,DAILY!R3:T4,3,0)</f>
        <v>46109</v>
      </c>
      <c r="V2" s="25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40" t="s">
        <v>16</v>
      </c>
      <c r="AN2" s="26"/>
      <c r="AO2" s="41">
        <v>0.0</v>
      </c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42"/>
      <c r="BB2" s="43"/>
      <c r="BC2" s="44"/>
      <c r="BD2" s="45">
        <f t="array" ref="BD2">OFFSET(timesheet!$BE$3,1,0,MAX(timesheet!$BC:$BC),1)</f>
        <v>0.9166666667</v>
      </c>
      <c r="BE2" s="44"/>
      <c r="BF2" s="42"/>
      <c r="BG2" s="46" t="str">
        <f t="array" ref="BG2">OFFSET(timesheet!$BH$3,1,0,MAX(timesheet!$BF:$BF),1)</f>
        <v>#VALUE!</v>
      </c>
      <c r="BH2" s="42"/>
      <c r="BI2" s="47"/>
      <c r="BJ2" s="45" t="str">
        <f t="array" ref="BJ2">OFFSET(timesheet!$BK$3,1,0,MAX(timesheet!$BI:$BI),1)</f>
        <v>#VALUE!</v>
      </c>
      <c r="BK2" s="47"/>
      <c r="BL2" s="42"/>
      <c r="BM2" s="46" t="str">
        <f t="array" ref="BM2">OFFSET(timesheet!$BN$3,1,0,MAX(timesheet!$BL:$BL),1)</f>
        <v>#VALUE!</v>
      </c>
      <c r="BN2" s="42"/>
      <c r="BO2" s="47"/>
      <c r="BP2" s="45">
        <f t="array" ref="BP2">OFFSET(timesheet!$BP$3,1,0,MAX(timesheet!$BO:$BO),1)</f>
        <v>0.9166666667</v>
      </c>
      <c r="BQ2" s="42"/>
      <c r="BR2" s="46" t="str">
        <f t="array" ref="BR2">OFFSET(timesheet!$BR$3,1,0,MAX(timesheet!$BQ:$BQ),1)</f>
        <v>#VALUE!</v>
      </c>
      <c r="BS2" s="47"/>
      <c r="BT2" s="45" t="str">
        <f t="array" ref="BT2">OFFSET(timesheet!$BT$3,1,0,MAX(timesheet!$BS:$BS),1)</f>
        <v>#VALUE!</v>
      </c>
      <c r="BU2" s="42"/>
      <c r="BV2" s="46" t="str">
        <f t="array" ref="BV2">OFFSET(timesheet!$BV$3,1,0,MAX(timesheet!$BU:$BU),1)</f>
        <v>#VALUE!</v>
      </c>
      <c r="BW2" s="47"/>
      <c r="BX2" s="45" t="str">
        <f t="array" ref="BX2">OFFSET(timesheet!$BX$3,1,0,MAX(timesheet!$BW:$BW),1)</f>
        <v>#VALUE!</v>
      </c>
      <c r="BY2" s="42"/>
      <c r="BZ2" s="46" t="str">
        <f t="array" ref="BZ2">OFFSET(timesheet!$BZ$3,1,0,MAX(timesheet!$BY:$BY),1)</f>
        <v>#VALUE!</v>
      </c>
      <c r="CA2" s="47"/>
      <c r="CB2" s="45" t="str">
        <f t="array" ref="CB2">OFFSET(timesheet!$CB$3,1,0,MAX(timesheet!$CA:$CA),1)</f>
        <v>#VALUE!</v>
      </c>
      <c r="CC2" s="42"/>
      <c r="CD2" s="46" t="str">
        <f t="array" ref="CD2">OFFSET(timesheet!$CD$3,1,0,MAX(timesheet!$CC:$CC),1)</f>
        <v>#VALUE!</v>
      </c>
      <c r="CE2" s="47"/>
      <c r="CF2" s="45" t="str">
        <f>OFFSET(timesheet!$CF$3,1,0,MAX(timesheet!$CE:$CE),1)</f>
        <v>#REF!</v>
      </c>
      <c r="CG2" s="42"/>
      <c r="CH2" s="46" t="str">
        <f>OFFSET(timesheet!$CH$3,1,0,MAX(timesheet!$CG:$CG),1)</f>
        <v>#REF!</v>
      </c>
      <c r="CI2" s="47"/>
      <c r="CJ2" s="45" t="str">
        <f t="array" ref="CJ2">OFFSET(timesheet!$CJ$3,1,0,MAX(timesheet!$CI:$CI),1)</f>
        <v>#VALUE!</v>
      </c>
      <c r="CK2" s="42"/>
      <c r="CL2" s="46" t="str">
        <f t="array" ref="CL2">OFFSET(timesheet!$CL$3,1,0,MAX(timesheet!$CK:$CK),1)</f>
        <v>#VALUE!</v>
      </c>
      <c r="CM2" s="47"/>
      <c r="CN2" s="45" t="str">
        <f t="array" ref="CN2">OFFSET(timesheet!$CN$3,1,0,MAX(timesheet!$CM:$CM),1)</f>
        <v>#VALUE!</v>
      </c>
      <c r="CO2" s="42"/>
      <c r="CP2" s="46" t="str">
        <f t="array" ref="CP2">OFFSET(timesheet!$CP$3,1,0,MAX(timesheet!$CO:$CO),1)</f>
        <v>#VALUE!</v>
      </c>
      <c r="CQ2" s="26"/>
      <c r="CR2" s="32"/>
      <c r="CS2" s="26"/>
      <c r="CT2" s="26"/>
      <c r="CU2" s="26"/>
      <c r="CV2" s="32"/>
      <c r="CW2" s="26"/>
      <c r="CX2" s="26"/>
      <c r="CY2" s="26"/>
      <c r="CZ2" s="26"/>
    </row>
    <row r="3" ht="15.75" hidden="1" customHeight="1">
      <c r="A3" s="26"/>
      <c r="B3" s="26">
        <f t="shared" ref="B3:C3" si="3">COUNT(B7:B16)</f>
        <v>0</v>
      </c>
      <c r="C3" s="26">
        <f t="shared" si="3"/>
        <v>0</v>
      </c>
      <c r="D3" s="48">
        <f>B3-C3</f>
        <v>0</v>
      </c>
      <c r="E3" s="26">
        <f t="shared" ref="E3:F3" si="4">COUNT(E7:E16)</f>
        <v>0</v>
      </c>
      <c r="F3" s="26">
        <f t="shared" si="4"/>
        <v>0</v>
      </c>
      <c r="G3" s="48">
        <f>E3-F3</f>
        <v>0</v>
      </c>
      <c r="H3" s="26">
        <f t="shared" ref="H3:I3" si="5">COUNT(H7:H16)</f>
        <v>0</v>
      </c>
      <c r="I3" s="26">
        <f t="shared" si="5"/>
        <v>0</v>
      </c>
      <c r="J3" s="48">
        <f>H3-I3</f>
        <v>0</v>
      </c>
      <c r="K3" s="26">
        <f t="shared" ref="K3:L3" si="6">COUNT(K7:K16)</f>
        <v>0</v>
      </c>
      <c r="L3" s="26">
        <f t="shared" si="6"/>
        <v>0</v>
      </c>
      <c r="M3" s="48">
        <f>K3-L3</f>
        <v>0</v>
      </c>
      <c r="N3" s="26">
        <f t="shared" ref="N3:O3" si="7">COUNT(N7:N16)</f>
        <v>0</v>
      </c>
      <c r="O3" s="26">
        <f t="shared" si="7"/>
        <v>0</v>
      </c>
      <c r="P3" s="48">
        <f>N3-O3</f>
        <v>0</v>
      </c>
      <c r="Q3" s="26">
        <f t="shared" ref="Q3:R3" si="8">COUNT(Q7:Q16)</f>
        <v>0</v>
      </c>
      <c r="R3" s="26">
        <f t="shared" si="8"/>
        <v>0</v>
      </c>
      <c r="S3" s="48">
        <f>Q3-R3</f>
        <v>0</v>
      </c>
      <c r="T3" s="26">
        <f t="shared" ref="T3:U3" si="9">COUNT(T7:T16)</f>
        <v>0</v>
      </c>
      <c r="U3" s="26">
        <f t="shared" si="9"/>
        <v>0</v>
      </c>
      <c r="V3" s="48">
        <f>T3-U3</f>
        <v>0</v>
      </c>
      <c r="W3" s="26">
        <f t="shared" ref="W3:X3" si="10">COUNT(W7:W16)</f>
        <v>0</v>
      </c>
      <c r="X3" s="26">
        <f t="shared" si="10"/>
        <v>0</v>
      </c>
      <c r="Y3" s="48">
        <f>W3-X3</f>
        <v>0</v>
      </c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49"/>
      <c r="AL3" s="26"/>
      <c r="AM3" s="50">
        <f>IF(U1="1st",TIME(6,0,0),IF(U1="2nd",TIME(14,0,0),IF(U1="3rd",TIME(22,0,0),0)))</f>
        <v>0.9166666667</v>
      </c>
      <c r="AN3" s="26"/>
      <c r="AO3" s="41">
        <v>0.003472222222222222</v>
      </c>
      <c r="AP3" s="26"/>
      <c r="AQ3" s="26" t="s">
        <v>17</v>
      </c>
      <c r="AR3" s="26"/>
      <c r="AS3" s="26" t="s">
        <v>18</v>
      </c>
      <c r="AT3" s="26"/>
      <c r="AU3" s="51" t="s">
        <v>19</v>
      </c>
      <c r="AV3" s="52"/>
      <c r="AW3" s="51" t="s">
        <v>20</v>
      </c>
      <c r="AX3" s="53"/>
      <c r="AY3" s="54" t="s">
        <v>21</v>
      </c>
      <c r="AZ3" s="55" t="s">
        <v>22</v>
      </c>
      <c r="BA3" s="56" t="s">
        <v>23</v>
      </c>
      <c r="BB3" s="57" t="s">
        <v>24</v>
      </c>
      <c r="BC3" s="58" t="s">
        <v>25</v>
      </c>
      <c r="BD3" s="59"/>
      <c r="BE3" s="59" t="s">
        <v>26</v>
      </c>
      <c r="BF3" s="56" t="s">
        <v>27</v>
      </c>
      <c r="BG3" s="56"/>
      <c r="BH3" s="56" t="s">
        <v>28</v>
      </c>
      <c r="BI3" s="59" t="s">
        <v>27</v>
      </c>
      <c r="BJ3" s="59"/>
      <c r="BK3" s="59" t="s">
        <v>29</v>
      </c>
      <c r="BL3" s="56" t="s">
        <v>27</v>
      </c>
      <c r="BM3" s="56"/>
      <c r="BN3" s="56" t="s">
        <v>30</v>
      </c>
      <c r="BO3" s="60" t="s">
        <v>25</v>
      </c>
      <c r="BP3" s="59" t="s">
        <v>31</v>
      </c>
      <c r="BQ3" s="56" t="s">
        <v>25</v>
      </c>
      <c r="BR3" s="56" t="s">
        <v>32</v>
      </c>
      <c r="BS3" s="59" t="s">
        <v>25</v>
      </c>
      <c r="BT3" s="59" t="s">
        <v>33</v>
      </c>
      <c r="BU3" s="56" t="s">
        <v>27</v>
      </c>
      <c r="BV3" s="56" t="s">
        <v>34</v>
      </c>
      <c r="BW3" s="59" t="s">
        <v>25</v>
      </c>
      <c r="BX3" s="59" t="s">
        <v>35</v>
      </c>
      <c r="BY3" s="56" t="s">
        <v>27</v>
      </c>
      <c r="BZ3" s="56" t="s">
        <v>36</v>
      </c>
      <c r="CA3" s="59" t="s">
        <v>25</v>
      </c>
      <c r="CB3" s="59" t="s">
        <v>37</v>
      </c>
      <c r="CC3" s="56" t="s">
        <v>27</v>
      </c>
      <c r="CD3" s="56" t="s">
        <v>38</v>
      </c>
      <c r="CE3" s="59" t="s">
        <v>27</v>
      </c>
      <c r="CF3" s="59" t="s">
        <v>39</v>
      </c>
      <c r="CG3" s="56" t="s">
        <v>27</v>
      </c>
      <c r="CH3" s="56" t="s">
        <v>40</v>
      </c>
      <c r="CI3" s="59" t="s">
        <v>27</v>
      </c>
      <c r="CJ3" s="59" t="s">
        <v>41</v>
      </c>
      <c r="CK3" s="56" t="s">
        <v>27</v>
      </c>
      <c r="CL3" s="56" t="s">
        <v>42</v>
      </c>
      <c r="CM3" s="59" t="s">
        <v>27</v>
      </c>
      <c r="CN3" s="59" t="s">
        <v>43</v>
      </c>
      <c r="CO3" s="56" t="s">
        <v>27</v>
      </c>
      <c r="CP3" s="61" t="s">
        <v>44</v>
      </c>
      <c r="CQ3" s="62"/>
      <c r="CR3" s="63">
        <f t="array" ref="CR3">OFFSET(timesheet!$CR$7,1,0,MAX(timesheet!$CQ:$CQ),1)</f>
        <v>0.9166666667</v>
      </c>
      <c r="CS3" s="64"/>
      <c r="CT3" s="65">
        <f t="array" ref="CT3">OFFSET(timesheet!$CT$7,1,0,MAX(timesheet!$CS:$CS),1)</f>
        <v>0</v>
      </c>
      <c r="CU3" s="64"/>
      <c r="CV3" s="63" t="str">
        <f t="array" ref="CV3">OFFSET(timesheet!$CV$7,1,0,MAX(timesheet!$CU:$CU),1)</f>
        <v>#VALUE!</v>
      </c>
      <c r="CW3" s="65"/>
      <c r="CX3" s="66" t="str">
        <f t="array" ref="CX3">OFFSET(timesheet!$CX$7,1,0,MAX(timesheet!$CW:$CW),1)</f>
        <v>#VALUE!</v>
      </c>
      <c r="CY3" s="26"/>
      <c r="CZ3" s="26"/>
    </row>
    <row r="4">
      <c r="A4" s="26"/>
      <c r="B4" s="67"/>
      <c r="C4" s="68" t="s">
        <v>45</v>
      </c>
      <c r="D4" s="69"/>
      <c r="E4" s="70" t="s">
        <v>46</v>
      </c>
      <c r="F4" s="24"/>
      <c r="G4" s="25"/>
      <c r="H4" s="71" t="s">
        <v>47</v>
      </c>
      <c r="I4" s="24"/>
      <c r="J4" s="25"/>
      <c r="K4" s="70" t="s">
        <v>48</v>
      </c>
      <c r="L4" s="24"/>
      <c r="M4" s="25"/>
      <c r="N4" s="71" t="s">
        <v>49</v>
      </c>
      <c r="O4" s="24"/>
      <c r="P4" s="25"/>
      <c r="Q4" s="70" t="s">
        <v>50</v>
      </c>
      <c r="R4" s="24"/>
      <c r="S4" s="25"/>
      <c r="T4" s="72" t="s">
        <v>51</v>
      </c>
      <c r="U4" s="73"/>
      <c r="V4" s="30"/>
      <c r="W4" s="74"/>
      <c r="X4" s="75" t="s">
        <v>52</v>
      </c>
      <c r="Y4" s="76"/>
      <c r="Z4" s="77"/>
      <c r="AA4" s="77"/>
      <c r="AB4" s="26"/>
      <c r="AC4" s="26"/>
      <c r="AD4" s="26"/>
      <c r="AE4" s="26"/>
      <c r="AF4" s="26"/>
      <c r="AG4" s="26"/>
      <c r="AH4" s="26"/>
      <c r="AI4" s="26"/>
      <c r="AJ4" s="26"/>
      <c r="AK4" s="49"/>
      <c r="AL4" s="26"/>
      <c r="AM4" s="40">
        <f t="shared" ref="AM4:AM11" si="11">AM3+TIME(1,0,0)</f>
        <v>0.9583333333</v>
      </c>
      <c r="AN4" s="26"/>
      <c r="AO4" s="41">
        <f t="shared" ref="AO4:AO13" si="12">SUM(AO3,TIME(0,5,0))</f>
        <v>0.006944444444</v>
      </c>
      <c r="AP4" s="26"/>
      <c r="AQ4" s="26" t="s">
        <v>53</v>
      </c>
      <c r="AR4" s="26"/>
      <c r="AS4" s="26" t="s">
        <v>54</v>
      </c>
      <c r="AT4" s="26"/>
      <c r="AU4" s="26" t="s">
        <v>16</v>
      </c>
      <c r="AV4" s="26" t="s">
        <v>13</v>
      </c>
      <c r="AW4" s="26" t="s">
        <v>16</v>
      </c>
      <c r="AX4" s="26" t="s">
        <v>13</v>
      </c>
      <c r="AY4" s="78" t="str">
        <f>IF(AND(AU5="",AV5=""),"",IF(SUM(AU5,AV5)&lt;AM16,(1+AU5+AV5),SUM(AU5,AV5)))</f>
        <v/>
      </c>
      <c r="AZ4" s="78" t="str">
        <f>IF(AND(AW5="",AX5=""),"",IF(SUM(AU5,AV5)&lt;AM16,(1+AU5+AV5),SUM(AW5,AX5)))</f>
        <v/>
      </c>
      <c r="BA4" s="79">
        <f t="shared" ref="BA4:BA100" si="13">IF(BB4="","",MAX(BA$1:BA3)+1)</f>
        <v>1</v>
      </c>
      <c r="BB4" s="80">
        <f>IF(U1="1st",TIME(6,0,0),IF(U1="2nd",TIME(14,0,0),IF(U1="3rd",TIME(22,0,0),0)))</f>
        <v>0.9166666667</v>
      </c>
      <c r="BC4" s="81">
        <f t="shared" ref="BC4:BC100" si="14">IF(BD4="","",MAX(BC$1:BC3)+1)</f>
        <v>1</v>
      </c>
      <c r="BD4" s="31">
        <f>IF(OR(K2&lt;&gt;L2,B2&lt;&gt;C2,B3&lt;&gt;C3),"",IF(MAX(L21:L30,C21:C30,C7:C16)=0,($BB$4),MAX(L21:L30,C21:C30,C7:C16)))</f>
        <v>0.9166666667</v>
      </c>
      <c r="BE4" s="82">
        <f t="shared" ref="BE4:BE100" si="15">IFERROR(INDEX($BD$4:$BD$100,MATCH(ROW()-ROW($BE$3),$BC$4:$BC$100,0)),"")</f>
        <v>0.9166666667</v>
      </c>
      <c r="BF4" s="79" t="str">
        <f t="shared" ref="BF4:BF100" si="16">IF(BG4="","",MAX(BF$1:BF3)+1)</f>
        <v/>
      </c>
      <c r="BG4" s="31" t="str">
        <f>IF(OR(MAX(B7:B16)=0,B3=C3),"",MAX(B7:B16))</f>
        <v/>
      </c>
      <c r="BH4" s="82" t="str">
        <f t="shared" ref="BH4:BH100" si="17">IFERROR(INDEX($BG$4:$BG$100,MATCH(ROW()-ROW($BH$3),$BF$4:$BF$100,0)),"")</f>
        <v/>
      </c>
      <c r="BI4" s="79" t="str">
        <f t="shared" ref="BI4:BI100" si="18">IF(BJ4="","",MAX(BI$1:BI3)+1)</f>
        <v/>
      </c>
      <c r="BJ4" s="31" t="str">
        <f>IF(OR(MAX(K21:K30)=0,B2=C2),"",MAX(K21:K30))</f>
        <v/>
      </c>
      <c r="BK4" s="82" t="str">
        <f t="shared" ref="BK4:BK100" si="19">IFERROR(INDEX($BJ$4:$BJ$100,MATCH(ROW()-ROW($BK$3),$BI$4:$BI$100,0)),"")</f>
        <v/>
      </c>
      <c r="BL4" s="79" t="str">
        <f t="shared" ref="BL4:BL100" si="20">IF(BM4="","",MAX(BL$1:BL3)+1)</f>
        <v/>
      </c>
      <c r="BM4" s="31" t="str">
        <f>IF(OR(MAX(B21:B30)=0,K2=L2),"",MAX(B21:B30))</f>
        <v/>
      </c>
      <c r="BN4" s="82" t="str">
        <f t="shared" ref="BN4:BN100" si="21">IFERROR(INDEX($BM$4:$BM$100,MATCH(ROW()-ROW($BN$3),$BL$4:$BL$100,0)),"")</f>
        <v/>
      </c>
      <c r="BO4" s="79">
        <f t="shared" ref="BO4:BO100" si="22">IF(BP4="","",MAX(BO$1:BO3)+1)</f>
        <v>1</v>
      </c>
      <c r="BP4" s="31">
        <f>IF($B$2&lt;&gt;$C$2,"",IF(MAX(L21:L30)&lt;&gt;0,MAX(L21:L30),IF(MAX(B7:B16)=0,($BB$4),MAX(B7:B16))))</f>
        <v>0.9166666667</v>
      </c>
      <c r="BQ4" s="79" t="str">
        <f t="shared" ref="BQ4:BQ100" si="23">IF(BR4="","",MAX(BQ$1:BQ3)+1)</f>
        <v/>
      </c>
      <c r="BR4" s="31" t="str">
        <f>IF(MAX(Q7:Q16)=0,"",MAX(Q7:Q16))</f>
        <v/>
      </c>
      <c r="BS4" s="79" t="str">
        <f t="shared" ref="BS4:BS100" si="24">IF(BT4="","",MAX(BS$1:BS3)+1)</f>
        <v/>
      </c>
      <c r="BT4" s="31" t="str">
        <f>IF(MAX(T7:T16)=0,"",MAX(T7:T16))</f>
        <v/>
      </c>
      <c r="BU4" s="79" t="str">
        <f t="shared" ref="BU4:BU100" si="25">IF(BV4="","",MAX(BU$1:BU3)+1)</f>
        <v/>
      </c>
      <c r="BV4" s="31" t="str">
        <f>IF(MAX(W7:W16)=0,"",MAX(W7:W16))</f>
        <v/>
      </c>
      <c r="BW4" s="79" t="str">
        <f t="shared" ref="BW4:BW100" si="26">IF(BX4="","",MAX(BW$1:BW3)+1)</f>
        <v/>
      </c>
      <c r="BX4" s="31" t="str">
        <f>IF(MAX(E7:E16)=0,"",MAX(E7:E16))</f>
        <v/>
      </c>
      <c r="BY4" s="79" t="str">
        <f t="shared" ref="BY4:BY100" si="27">IF(BZ4="","",MAX(BY$1:BY3)+1)</f>
        <v/>
      </c>
      <c r="BZ4" s="31" t="str">
        <f>IF(MAX(H7:H16)=0,"",MAX(H7:H16))</f>
        <v/>
      </c>
      <c r="CA4" s="79" t="str">
        <f t="shared" ref="CA4:CA100" si="28">IF(CB4="","",MAX(CA$1:CA3)+1)</f>
        <v/>
      </c>
      <c r="CB4" s="31" t="str">
        <f>IF(MAX(K7:K16)=0,"",MAX(K7:K16))</f>
        <v/>
      </c>
      <c r="CC4" s="79" t="str">
        <f t="shared" ref="CC4:CC100" si="29">IF(CD4="","",MAX(CC$1:CC3)+1)</f>
        <v/>
      </c>
      <c r="CD4" s="31" t="str">
        <f>IF(MAX(N7:N16)=0,"",MAX(N7:N16))</f>
        <v/>
      </c>
      <c r="CE4" s="79">
        <f t="shared" ref="CE4:CE100" si="30">IF(CF4="","",MAX(CE$1:CE3)+1)</f>
        <v>1</v>
      </c>
      <c r="CF4" s="31">
        <f>IF(OR(K2&lt;&gt;L2,B3&lt;&gt;C3),"",IF(MAX(C7:C16,C21:C30,L21:L30)=0,($BB$4),MAX(C7:C16,C21:C30,L21:L30)))</f>
        <v>0.9166666667</v>
      </c>
      <c r="CG4" s="79">
        <f t="shared" ref="CG4:CG100" si="31">IF(CH4="","",MAX(CG$1:CG3)+1)</f>
        <v>1</v>
      </c>
      <c r="CH4" s="31">
        <f>IF(OR(B2&lt;&gt;C2,B3&lt;&gt;C3),"",IF(MAX(L21:L30,C7:C16,C21:C30)=0,($BB$4),MAX(L21:L30,C7:C16,C21:C30)))</f>
        <v>0.9166666667</v>
      </c>
      <c r="CI4" s="79" t="str">
        <f t="shared" ref="CI4:CI100" si="32">IF(CJ4="","",MAX(CI$1:CI3)+1)</f>
        <v/>
      </c>
      <c r="CJ4" s="31" t="str">
        <f>IF($B$3=$C$3,"",IF(MAX(L21:L30,C21:C30,C7:C16)=0,($BB$4),MAX(L21:L30,C21:C30,C7:C16)))</f>
        <v/>
      </c>
      <c r="CK4" s="79" t="str">
        <f t="shared" ref="CK4:CK100" si="33">IF(CL4="","",MAX(CK$1:CK3)+1)</f>
        <v/>
      </c>
      <c r="CL4" s="31" t="str">
        <f>IF($B$3=$C$3,"",IF(MAX(L21:L30,C21:C30,C7:C16)=0,($BB$4),MAX(L21:L30,C21:C30,C7:C16)))</f>
        <v/>
      </c>
      <c r="CM4" s="79" t="str">
        <f t="shared" ref="CM4:CM100" si="34">IF(CN4="","",MAX(CM$1:CM3)+1)</f>
        <v/>
      </c>
      <c r="CN4" s="31" t="str">
        <f>IF($B$3=$C$3,"",IF(MAX(L21:L30,C21:C30,C7:C16)=0,($BB$4),MAX(L21:L30,C21:C30,C7:C16)))</f>
        <v/>
      </c>
      <c r="CO4" s="79" t="str">
        <f t="shared" ref="CO4:CO100" si="35">IF(CP4="","",MAX(CO$1:CO3)+1)</f>
        <v/>
      </c>
      <c r="CP4" s="31" t="str">
        <f>IF($B$3=$C$3,"",IF(MAX(L21:L30,C21:C30,C7:C16)=0,($BB$4),MAX(L21:L30,C21:C30,C7:C16)))</f>
        <v/>
      </c>
      <c r="CQ4" s="83"/>
      <c r="CR4" s="84"/>
      <c r="CS4" s="26"/>
      <c r="CT4" s="26"/>
      <c r="CU4" s="26"/>
      <c r="CV4" s="84"/>
      <c r="CW4" s="26"/>
      <c r="CX4" s="85"/>
      <c r="CY4" s="26"/>
      <c r="CZ4" s="26"/>
    </row>
    <row r="5" hidden="1">
      <c r="A5" s="26"/>
      <c r="B5" s="86" t="s">
        <v>21</v>
      </c>
      <c r="C5" s="87" t="s">
        <v>22</v>
      </c>
      <c r="D5" s="88" t="s">
        <v>55</v>
      </c>
      <c r="E5" s="86" t="s">
        <v>56</v>
      </c>
      <c r="F5" s="87" t="s">
        <v>57</v>
      </c>
      <c r="G5" s="88" t="s">
        <v>58</v>
      </c>
      <c r="H5" s="89" t="s">
        <v>59</v>
      </c>
      <c r="I5" s="87" t="s">
        <v>60</v>
      </c>
      <c r="J5" s="87" t="s">
        <v>61</v>
      </c>
      <c r="K5" s="86" t="s">
        <v>62</v>
      </c>
      <c r="L5" s="87" t="s">
        <v>63</v>
      </c>
      <c r="M5" s="88" t="s">
        <v>64</v>
      </c>
      <c r="N5" s="89" t="s">
        <v>65</v>
      </c>
      <c r="O5" s="87" t="s">
        <v>66</v>
      </c>
      <c r="P5" s="87" t="s">
        <v>67</v>
      </c>
      <c r="Q5" s="86" t="s">
        <v>68</v>
      </c>
      <c r="R5" s="87" t="s">
        <v>69</v>
      </c>
      <c r="S5" s="88" t="s">
        <v>70</v>
      </c>
      <c r="T5" s="89" t="s">
        <v>71</v>
      </c>
      <c r="U5" s="87" t="s">
        <v>72</v>
      </c>
      <c r="V5" s="87" t="s">
        <v>73</v>
      </c>
      <c r="W5" s="86" t="s">
        <v>74</v>
      </c>
      <c r="X5" s="87" t="s">
        <v>75</v>
      </c>
      <c r="Y5" s="88" t="s">
        <v>76</v>
      </c>
      <c r="Z5" s="90"/>
      <c r="AA5" s="90"/>
      <c r="AB5" s="26"/>
      <c r="AC5" s="26"/>
      <c r="AD5" s="26"/>
      <c r="AE5" s="26"/>
      <c r="AF5" s="26"/>
      <c r="AG5" s="26"/>
      <c r="AH5" s="26"/>
      <c r="AI5" s="26"/>
      <c r="AJ5" s="26"/>
      <c r="AK5" s="49"/>
      <c r="AL5" s="26"/>
      <c r="AM5" s="40">
        <f t="shared" si="11"/>
        <v>1</v>
      </c>
      <c r="AN5" s="26"/>
      <c r="AO5" s="41">
        <f t="shared" si="12"/>
        <v>0.01041666667</v>
      </c>
      <c r="AP5" s="26"/>
      <c r="AQ5" s="26" t="s">
        <v>77</v>
      </c>
      <c r="AR5" s="26"/>
      <c r="AS5" s="26" t="s">
        <v>78</v>
      </c>
      <c r="AT5" s="26"/>
      <c r="AU5" s="78"/>
      <c r="AV5" s="91"/>
      <c r="AW5" s="78"/>
      <c r="AX5" s="91"/>
      <c r="AY5" s="92" t="str">
        <f>IF(AND(AU5="",AV5=""),"",IF(AND(SUM(AU5,AV5)&gt;TIME(0,0,0),SUM(AU5,AV5)&lt;TIME(6,5,0),U1="3rd"),(1+AU5+AV5),SUM(AU5,AV5)))</f>
        <v/>
      </c>
      <c r="AZ5" s="92" t="str">
        <f>IF(AND(AW5="",AX5=""),"",IF(AND(SUM(AW5,AX5)&gt;TIME(0,0,0),SUM(AW5,AX5)&lt;TIME(6,5,0),U1="3rd"),(1+AW5+AX5),SUM(AW5,AX5)))</f>
        <v/>
      </c>
      <c r="BA5" s="93">
        <f t="shared" si="13"/>
        <v>2</v>
      </c>
      <c r="BB5" s="31">
        <f t="shared" ref="BB5:BB100" si="36">BB4+TIME(0,5,0)</f>
        <v>0.9201388889</v>
      </c>
      <c r="BC5" s="94">
        <f t="shared" si="14"/>
        <v>2</v>
      </c>
      <c r="BD5" s="31">
        <f t="shared" ref="BD5:BD100" si="37">IF(AND(BD4&lt;=$BB$98,$U$1="2nd"),BD4+TIME(0,5,0),IF(AND(BD4&lt;=$BB$98,$U$1="3rd"),BD4+TIME(0,5,0),IF(AND(BD4&lt;=$BB$98,$U$1="1st"),BD4+TIME(0,5,0),"")))</f>
        <v>0.9201388889</v>
      </c>
      <c r="BE5" s="95">
        <f t="shared" si="15"/>
        <v>0.9201388889</v>
      </c>
      <c r="BF5" s="93" t="str">
        <f t="shared" si="16"/>
        <v/>
      </c>
      <c r="BG5" s="31" t="str">
        <f>IF(AND(BG4&lt;=$BB$99,$U$1="2nd"),BG4+TIME(0,5,0),IF(AND(BG4&lt;$BB$97,$U$1="3rd"),BG4+TIME(0,5,0),IF(AND(BG4&lt;=$BB$99,$U$1="1st"),BG4+TIME(0,5,0),"")))</f>
        <v/>
      </c>
      <c r="BH5" s="95" t="str">
        <f t="shared" si="17"/>
        <v/>
      </c>
      <c r="BI5" s="93" t="str">
        <f t="shared" si="18"/>
        <v/>
      </c>
      <c r="BJ5" s="31" t="str">
        <f t="shared" ref="BJ5:BJ100" si="38">IF(AND(BJ4&lt;=$BB$99,$U$1="2nd"),BJ4+TIME(0,5,0),IF(AND(BJ4&lt;=$BB$99,$U$1="3rd"),BJ4+TIME(0,5,0),IF(AND(BJ4&lt;=$BB$99,$U$1="1st"),BJ4+TIME(0,5,0),"")))</f>
        <v/>
      </c>
      <c r="BK5" s="95" t="str">
        <f t="shared" si="19"/>
        <v/>
      </c>
      <c r="BL5" s="93" t="str">
        <f t="shared" si="20"/>
        <v/>
      </c>
      <c r="BM5" s="31" t="str">
        <f t="shared" ref="BM5:BM100" si="39">IF(AND(BM4&lt;=$BB$99,$U$1="2nd"),BM4+TIME(0,5,0),IF(AND(BM4&lt;=$BB$99,$U$1="3rd"),BM4+TIME(0,5,0),IF(AND(BM4&lt;=$BB$99,$U$1="1st"),BM4+TIME(0,5,0),"")))</f>
        <v/>
      </c>
      <c r="BN5" s="95" t="str">
        <f t="shared" si="21"/>
        <v/>
      </c>
      <c r="BO5" s="93">
        <f t="shared" si="22"/>
        <v>2</v>
      </c>
      <c r="BP5" s="31">
        <f t="shared" ref="BP5:BP100" si="40">IF(AND(BP4&lt;=$BB$98,$U$1="2nd"),BP4+TIME(0,5,0),IF(AND(BP4&lt;=$BB$98,$U$1="3rd"),BP4+TIME(0,5,0),IF(AND(BP4&lt;=$BB$98,$U$1="1st"),BP4+TIME(0,5,0),"")))</f>
        <v>0.9201388889</v>
      </c>
      <c r="BQ5" s="93" t="str">
        <f t="shared" si="23"/>
        <v/>
      </c>
      <c r="BR5" s="31" t="str">
        <f t="shared" ref="BR5:BR100" si="41">IF(AND(BR4&lt;=$BB$99,$U$1="2nd"),BR4+TIME(0,5,0),IF(AND(BR4&lt;=$BB$99,$U$1="3rd"),BR4+TIME(0,5,0),IF(AND(BR4&lt;=$BB$99,$U$1="1st"),BR4+TIME(0,5,0),"")))</f>
        <v/>
      </c>
      <c r="BS5" s="93" t="str">
        <f t="shared" si="24"/>
        <v/>
      </c>
      <c r="BT5" s="31" t="str">
        <f t="shared" ref="BT5:BT100" si="42">IF(AND(BT4&lt;=$BB$99,$U$1="2nd"),BT4+TIME(0,5,0),IF(AND(BT4&lt;=$BB$99,$U$1="3rd"),BT4+TIME(0,5,0),IF(AND(BT4&lt;=$BB$99,$U$1="1st"),BT4+TIME(0,5,0),"")))</f>
        <v/>
      </c>
      <c r="BU5" s="93" t="str">
        <f t="shared" si="25"/>
        <v/>
      </c>
      <c r="BV5" s="31" t="str">
        <f t="shared" ref="BV5:BV100" si="43">IF(AND(BV4&lt;=$BB$99,$U$1="2nd"),BV4+TIME(0,5,0),IF(AND(BV4&lt;=$BB$99,$U$1="3rd"),BV4+TIME(0,5,0),IF(AND(BV4&lt;=$BB$99,$U$1="1st"),BV4+TIME(0,5,0),"")))</f>
        <v/>
      </c>
      <c r="BW5" s="93" t="str">
        <f t="shared" si="26"/>
        <v/>
      </c>
      <c r="BX5" s="31" t="str">
        <f t="shared" ref="BX5:BX100" si="44">IF(AND(BX4&lt;=$BB$99,$U$1="2nd"),BX4+TIME(0,5,0),IF(AND(BX4&lt;=$BB$99,$U$1="3rd"),BX4+TIME(0,5,0),IF(AND(BX4&lt;=$BB$99,$U$1="1st"),BX4+TIME(0,5,0),"")))</f>
        <v/>
      </c>
      <c r="BY5" s="93" t="str">
        <f t="shared" si="27"/>
        <v/>
      </c>
      <c r="BZ5" s="31" t="str">
        <f t="shared" ref="BZ5:BZ100" si="45">IF(AND(BZ4&lt;=$BB$99,$U$1="2nd"),BZ4+TIME(0,5,0),IF(AND(BZ4&lt;=$BB$99,$U$1="3rd"),BZ4+TIME(0,5,0),IF(AND(BZ4&lt;=$BB$99,$U$1="1st"),BZ4+TIME(0,5,0),"")))</f>
        <v/>
      </c>
      <c r="CA5" s="93" t="str">
        <f t="shared" si="28"/>
        <v/>
      </c>
      <c r="CB5" s="31" t="str">
        <f t="shared" ref="CB5:CB100" si="46">IF(AND(CB4&lt;=$BB$99,$U$1="2nd"),CB4+TIME(0,5,0),IF(AND(CB4&lt;=$BB$99,$U$1="3rd"),CB4+TIME(0,5,0),IF(AND(CB4&lt;=$BB$99,$U$1="1st"),CB4+TIME(0,5,0),"")))</f>
        <v/>
      </c>
      <c r="CC5" s="93" t="str">
        <f t="shared" si="29"/>
        <v/>
      </c>
      <c r="CD5" s="31" t="str">
        <f t="shared" ref="CD5:CD100" si="47">IF(AND(CD4&lt;=$BB$99,$U$1="2nd"),CD4+TIME(0,5,0),IF(AND(CD4&lt;=$BB$99,$U$1="3rd"),CD4+TIME(0,5,0),IF(AND(CD4&lt;=$BB$99,$U$1="1st"),CD4+TIME(0,5,0),"")))</f>
        <v/>
      </c>
      <c r="CE5" s="93">
        <f t="shared" si="30"/>
        <v>2</v>
      </c>
      <c r="CF5" s="31">
        <f t="shared" ref="CF5:CF100" si="48">IF(AND(CF4&lt;=$BB$98,$U$1="2nd"),CF4+TIME(0,5,0),IF(AND(CF4&lt;=$BB$98,$U$1="3rd"),CF4+TIME(0,5,0),IF(AND(CF4&lt;=$BB$98,$U$1="1st"),CF4+TIME(0,5,0),"")))</f>
        <v>0.9201388889</v>
      </c>
      <c r="CG5" s="93">
        <f t="shared" si="31"/>
        <v>2</v>
      </c>
      <c r="CH5" s="31">
        <f t="shared" ref="CH5:CH100" si="49">IF(AND(CH4&lt;=$BB$98,$U$1="2nd"),CH4+TIME(0,5,0),IF(AND(CH4&lt;=$BB$98,$U$1="3rd"),CH4+TIME(0,5,0),IF(AND(CH4&lt;=$BB$98,$U$1="1st"),CH4+TIME(0,5,0),"")))</f>
        <v>0.9201388889</v>
      </c>
      <c r="CI5" s="93" t="str">
        <f t="shared" si="32"/>
        <v/>
      </c>
      <c r="CJ5" s="31" t="str">
        <f t="shared" ref="CJ5:CJ100" si="50">IF(AND(CJ4&lt;=$BB$98,$U$1="2nd"),CJ4+TIME(0,5,0),IF(AND(CJ4&lt;=$BB$98,$U$1="3rd"),CJ4+TIME(0,5,0),IF(AND(CJ4&lt;=$BB$98,$U$1="1st"),CJ4+TIME(0,5,0),"")))</f>
        <v/>
      </c>
      <c r="CK5" s="93" t="str">
        <f t="shared" si="33"/>
        <v/>
      </c>
      <c r="CL5" s="31" t="str">
        <f t="shared" ref="CL5:CL100" si="51">IF(AND(CL4&lt;=$BB$98,$U$1="2nd"),CL4+TIME(0,5,0),IF(AND(CL4&lt;=$BB$98,$U$1="3rd"),CL4+TIME(0,5,0),IF(AND(CL4&lt;=$BB$98,$U$1="1st"),CL4+TIME(0,5,0),"")))</f>
        <v/>
      </c>
      <c r="CM5" s="93" t="str">
        <f t="shared" si="34"/>
        <v/>
      </c>
      <c r="CN5" s="31" t="str">
        <f t="shared" ref="CN5:CN100" si="52">IF(AND(CN4&lt;=$BB$98,$U$1="2nd"),CN4+TIME(0,5,0),IF(AND(CN4&lt;=$BB$98,$U$1="3rd"),CN4+TIME(0,5,0),IF(AND(CN4&lt;=$BB$98,$U$1="1st"),CN4+TIME(0,5,0),"")))</f>
        <v/>
      </c>
      <c r="CO5" s="93" t="str">
        <f t="shared" si="35"/>
        <v/>
      </c>
      <c r="CP5" s="31" t="str">
        <f t="shared" ref="CP5:CP100" si="53">IF(AND(CP4&lt;=$BB$98,$U$1="2nd"),CP4+TIME(0,5,0),IF(AND(CP4&lt;=$BB$98,$U$1="3rd"),CP4+TIME(0,5,0),IF(AND(CP4&lt;=$BB$98,$U$1="1st"),CP4+TIME(0,5,0),"")))</f>
        <v/>
      </c>
      <c r="CQ5" s="83"/>
      <c r="CR5" s="32"/>
      <c r="CS5" s="26"/>
      <c r="CT5" s="26"/>
      <c r="CU5" s="26"/>
      <c r="CV5" s="32"/>
      <c r="CW5" s="26"/>
      <c r="CX5" s="85"/>
      <c r="CY5" s="26"/>
      <c r="CZ5" s="26"/>
    </row>
    <row r="6">
      <c r="A6" s="26"/>
      <c r="B6" s="96" t="s">
        <v>21</v>
      </c>
      <c r="C6" s="97" t="s">
        <v>79</v>
      </c>
      <c r="D6" s="98" t="s">
        <v>55</v>
      </c>
      <c r="E6" s="99" t="s">
        <v>21</v>
      </c>
      <c r="F6" s="100" t="s">
        <v>22</v>
      </c>
      <c r="G6" s="101" t="s">
        <v>55</v>
      </c>
      <c r="H6" s="102" t="s">
        <v>21</v>
      </c>
      <c r="I6" s="97" t="s">
        <v>22</v>
      </c>
      <c r="J6" s="98" t="s">
        <v>55</v>
      </c>
      <c r="K6" s="99" t="s">
        <v>21</v>
      </c>
      <c r="L6" s="100" t="s">
        <v>22</v>
      </c>
      <c r="M6" s="101" t="s">
        <v>55</v>
      </c>
      <c r="N6" s="102" t="s">
        <v>21</v>
      </c>
      <c r="O6" s="97" t="s">
        <v>22</v>
      </c>
      <c r="P6" s="98" t="s">
        <v>55</v>
      </c>
      <c r="Q6" s="99" t="s">
        <v>21</v>
      </c>
      <c r="R6" s="100" t="s">
        <v>22</v>
      </c>
      <c r="S6" s="101" t="s">
        <v>55</v>
      </c>
      <c r="T6" s="102" t="s">
        <v>21</v>
      </c>
      <c r="U6" s="97" t="s">
        <v>22</v>
      </c>
      <c r="V6" s="98" t="s">
        <v>55</v>
      </c>
      <c r="W6" s="96" t="s">
        <v>21</v>
      </c>
      <c r="X6" s="97" t="s">
        <v>22</v>
      </c>
      <c r="Y6" s="98" t="s">
        <v>55</v>
      </c>
      <c r="Z6" s="90"/>
      <c r="AA6" s="90"/>
      <c r="AB6" s="26"/>
      <c r="AC6" s="26"/>
      <c r="AD6" s="26"/>
      <c r="AE6" s="26"/>
      <c r="AF6" s="26"/>
      <c r="AG6" s="26"/>
      <c r="AH6" s="26"/>
      <c r="AI6" s="26"/>
      <c r="AJ6" s="26"/>
      <c r="AK6" s="49"/>
      <c r="AL6" s="26"/>
      <c r="AM6" s="40">
        <f t="shared" si="11"/>
        <v>1.041666667</v>
      </c>
      <c r="AN6" s="26"/>
      <c r="AO6" s="41">
        <f t="shared" si="12"/>
        <v>0.01388888889</v>
      </c>
      <c r="AP6" s="26"/>
      <c r="AQ6" s="26" t="s">
        <v>80</v>
      </c>
      <c r="AR6" s="26"/>
      <c r="AS6" s="26" t="s">
        <v>81</v>
      </c>
      <c r="AT6" s="26"/>
      <c r="AU6" s="103"/>
      <c r="AV6" s="104"/>
      <c r="AW6" s="26"/>
      <c r="AX6" s="26"/>
      <c r="AY6" s="105" t="str">
        <f>IF(AND(AU5="",AV5=""),"",IF(AND(SUM(AU5,AV5)&gt;TIME(0,0,0),SUM(AU5,AV5)&lt;TIME(6,5,0),U1="3rd"),(1+AU5+AV5),SUM(AU5,AV5)))</f>
        <v/>
      </c>
      <c r="AZ6" s="105" t="str">
        <f>IF(AND(AW5="",AX5=""),"",IF(AND(SUM(AW5,AX5)&gt;TIME(0,0,0),SUM(AW5,AX5)&lt;TIME(6,5,0),U1="3rd"),(1+AW5+AX5),SUM(AW5,AX5)))</f>
        <v/>
      </c>
      <c r="BA6" s="93">
        <f t="shared" si="13"/>
        <v>3</v>
      </c>
      <c r="BB6" s="31">
        <f t="shared" si="36"/>
        <v>0.9236111111</v>
      </c>
      <c r="BC6" s="94">
        <f t="shared" si="14"/>
        <v>3</v>
      </c>
      <c r="BD6" s="31">
        <f t="shared" si="37"/>
        <v>0.9236111111</v>
      </c>
      <c r="BE6" s="95">
        <f t="shared" si="15"/>
        <v>0.9236111111</v>
      </c>
      <c r="BF6" s="93" t="str">
        <f t="shared" si="16"/>
        <v/>
      </c>
      <c r="BG6" s="31" t="str">
        <f t="shared" ref="BG6:BG100" si="54">IF(AND(BG5&lt;=$BB$99,$U$1="2nd"),BG5+TIME(0,5,0),IF(AND(BG5&lt;=$BB$99,$U$1="3rd"),BG5+TIME(0,5,0),IF(AND(BG5&lt;=$BB$99,$U$1="1st"),BG5+TIME(0,5,0),"")))</f>
        <v/>
      </c>
      <c r="BH6" s="95" t="str">
        <f t="shared" si="17"/>
        <v/>
      </c>
      <c r="BI6" s="93" t="str">
        <f t="shared" si="18"/>
        <v/>
      </c>
      <c r="BJ6" s="31" t="str">
        <f t="shared" si="38"/>
        <v/>
      </c>
      <c r="BK6" s="95" t="str">
        <f t="shared" si="19"/>
        <v/>
      </c>
      <c r="BL6" s="93" t="str">
        <f t="shared" si="20"/>
        <v/>
      </c>
      <c r="BM6" s="31" t="str">
        <f t="shared" si="39"/>
        <v/>
      </c>
      <c r="BN6" s="95" t="str">
        <f t="shared" si="21"/>
        <v/>
      </c>
      <c r="BO6" s="93">
        <f t="shared" si="22"/>
        <v>3</v>
      </c>
      <c r="BP6" s="31">
        <f t="shared" si="40"/>
        <v>0.9236111111</v>
      </c>
      <c r="BQ6" s="93" t="str">
        <f t="shared" si="23"/>
        <v/>
      </c>
      <c r="BR6" s="31" t="str">
        <f t="shared" si="41"/>
        <v/>
      </c>
      <c r="BS6" s="93" t="str">
        <f t="shared" si="24"/>
        <v/>
      </c>
      <c r="BT6" s="31" t="str">
        <f t="shared" si="42"/>
        <v/>
      </c>
      <c r="BU6" s="93" t="str">
        <f t="shared" si="25"/>
        <v/>
      </c>
      <c r="BV6" s="31" t="str">
        <f t="shared" si="43"/>
        <v/>
      </c>
      <c r="BW6" s="93" t="str">
        <f t="shared" si="26"/>
        <v/>
      </c>
      <c r="BX6" s="31" t="str">
        <f t="shared" si="44"/>
        <v/>
      </c>
      <c r="BY6" s="93" t="str">
        <f t="shared" si="27"/>
        <v/>
      </c>
      <c r="BZ6" s="31" t="str">
        <f t="shared" si="45"/>
        <v/>
      </c>
      <c r="CA6" s="93" t="str">
        <f t="shared" si="28"/>
        <v/>
      </c>
      <c r="CB6" s="31" t="str">
        <f t="shared" si="46"/>
        <v/>
      </c>
      <c r="CC6" s="93" t="str">
        <f t="shared" si="29"/>
        <v/>
      </c>
      <c r="CD6" s="31" t="str">
        <f t="shared" si="47"/>
        <v/>
      </c>
      <c r="CE6" s="93">
        <f t="shared" si="30"/>
        <v>3</v>
      </c>
      <c r="CF6" s="31">
        <f t="shared" si="48"/>
        <v>0.9236111111</v>
      </c>
      <c r="CG6" s="93">
        <f t="shared" si="31"/>
        <v>3</v>
      </c>
      <c r="CH6" s="31">
        <f t="shared" si="49"/>
        <v>0.9236111111</v>
      </c>
      <c r="CI6" s="93" t="str">
        <f t="shared" si="32"/>
        <v/>
      </c>
      <c r="CJ6" s="31" t="str">
        <f t="shared" si="50"/>
        <v/>
      </c>
      <c r="CK6" s="93" t="str">
        <f t="shared" si="33"/>
        <v/>
      </c>
      <c r="CL6" s="31" t="str">
        <f t="shared" si="51"/>
        <v/>
      </c>
      <c r="CM6" s="93" t="str">
        <f t="shared" si="34"/>
        <v/>
      </c>
      <c r="CN6" s="31" t="str">
        <f t="shared" si="52"/>
        <v/>
      </c>
      <c r="CO6" s="93" t="str">
        <f t="shared" si="35"/>
        <v/>
      </c>
      <c r="CP6" s="31" t="str">
        <f t="shared" si="53"/>
        <v/>
      </c>
      <c r="CQ6" s="83"/>
      <c r="CR6" s="106"/>
      <c r="CS6" s="26"/>
      <c r="CT6" s="26"/>
      <c r="CU6" s="26"/>
      <c r="CV6" s="106"/>
      <c r="CW6" s="26"/>
      <c r="CX6" s="85"/>
      <c r="CY6" s="26"/>
      <c r="CZ6" s="26"/>
    </row>
    <row r="7">
      <c r="A7" s="26"/>
      <c r="B7" s="107"/>
      <c r="C7" s="108"/>
      <c r="D7" s="109" t="str">
        <f t="shared" ref="D7:D17" si="55">IF(C7="","",C7-B7+24)</f>
        <v/>
      </c>
      <c r="E7" s="107"/>
      <c r="F7" s="108"/>
      <c r="G7" s="109" t="str">
        <f t="shared" ref="G7:G17" si="56">IF(F7="","",F7-E7+24)</f>
        <v/>
      </c>
      <c r="H7" s="110"/>
      <c r="I7" s="108"/>
      <c r="J7" s="109" t="str">
        <f t="shared" ref="J7:J17" si="57">IF(I7="","",I7-H7+24)</f>
        <v/>
      </c>
      <c r="K7" s="107"/>
      <c r="L7" s="108"/>
      <c r="M7" s="109" t="str">
        <f t="shared" ref="M7:M17" si="58">IF(L7="","",L7-K7+24)</f>
        <v/>
      </c>
      <c r="N7" s="110"/>
      <c r="O7" s="108"/>
      <c r="P7" s="109" t="str">
        <f t="shared" ref="P7:P17" si="59">IF(O7="","",O7-N7+24)</f>
        <v/>
      </c>
      <c r="Q7" s="107"/>
      <c r="R7" s="108"/>
      <c r="S7" s="109" t="str">
        <f t="shared" ref="S7:S17" si="60">IF(R7="","",R7-Q7+24)</f>
        <v/>
      </c>
      <c r="T7" s="110"/>
      <c r="U7" s="108"/>
      <c r="V7" s="109" t="str">
        <f t="shared" ref="V7:V17" si="61">IF(U7="","",U7-T7+24)</f>
        <v/>
      </c>
      <c r="W7" s="107"/>
      <c r="X7" s="111"/>
      <c r="Y7" s="109" t="str">
        <f t="shared" ref="Y7:Y17" si="62">IF(X7="","",X7-W7+24)</f>
        <v/>
      </c>
      <c r="Z7" s="90"/>
      <c r="AA7" s="90"/>
      <c r="AB7" s="26"/>
      <c r="AC7" s="26"/>
      <c r="AD7" s="26"/>
      <c r="AE7" s="26"/>
      <c r="AF7" s="26"/>
      <c r="AG7" s="26"/>
      <c r="AH7" s="26"/>
      <c r="AI7" s="26"/>
      <c r="AJ7" s="26"/>
      <c r="AK7" s="49"/>
      <c r="AL7" s="26"/>
      <c r="AM7" s="40">
        <f t="shared" si="11"/>
        <v>1.083333333</v>
      </c>
      <c r="AN7" s="26"/>
      <c r="AO7" s="41">
        <f t="shared" si="12"/>
        <v>0.01736111111</v>
      </c>
      <c r="AP7" s="26"/>
      <c r="AQ7" s="26" t="s">
        <v>82</v>
      </c>
      <c r="AR7" s="26"/>
      <c r="AS7" s="26" t="s">
        <v>83</v>
      </c>
      <c r="AT7" s="26"/>
      <c r="AU7" s="26"/>
      <c r="AV7" s="26"/>
      <c r="AW7" s="26"/>
      <c r="AX7" s="26"/>
      <c r="AY7" s="26"/>
      <c r="AZ7" s="26"/>
      <c r="BA7" s="93">
        <f t="shared" si="13"/>
        <v>4</v>
      </c>
      <c r="BB7" s="31">
        <f t="shared" si="36"/>
        <v>0.9270833333</v>
      </c>
      <c r="BC7" s="94">
        <f t="shared" si="14"/>
        <v>4</v>
      </c>
      <c r="BD7" s="31">
        <f t="shared" si="37"/>
        <v>0.9270833333</v>
      </c>
      <c r="BE7" s="95">
        <f t="shared" si="15"/>
        <v>0.9270833333</v>
      </c>
      <c r="BF7" s="93" t="str">
        <f t="shared" si="16"/>
        <v/>
      </c>
      <c r="BG7" s="31" t="str">
        <f t="shared" si="54"/>
        <v/>
      </c>
      <c r="BH7" s="95" t="str">
        <f t="shared" si="17"/>
        <v/>
      </c>
      <c r="BI7" s="93" t="str">
        <f t="shared" si="18"/>
        <v/>
      </c>
      <c r="BJ7" s="31" t="str">
        <f t="shared" si="38"/>
        <v/>
      </c>
      <c r="BK7" s="95" t="str">
        <f t="shared" si="19"/>
        <v/>
      </c>
      <c r="BL7" s="93" t="str">
        <f t="shared" si="20"/>
        <v/>
      </c>
      <c r="BM7" s="31" t="str">
        <f t="shared" si="39"/>
        <v/>
      </c>
      <c r="BN7" s="95" t="str">
        <f t="shared" si="21"/>
        <v/>
      </c>
      <c r="BO7" s="93">
        <f t="shared" si="22"/>
        <v>4</v>
      </c>
      <c r="BP7" s="31">
        <f t="shared" si="40"/>
        <v>0.9270833333</v>
      </c>
      <c r="BQ7" s="93" t="str">
        <f t="shared" si="23"/>
        <v/>
      </c>
      <c r="BR7" s="31" t="str">
        <f t="shared" si="41"/>
        <v/>
      </c>
      <c r="BS7" s="93" t="str">
        <f t="shared" si="24"/>
        <v/>
      </c>
      <c r="BT7" s="31" t="str">
        <f t="shared" si="42"/>
        <v/>
      </c>
      <c r="BU7" s="93" t="str">
        <f t="shared" si="25"/>
        <v/>
      </c>
      <c r="BV7" s="31" t="str">
        <f t="shared" si="43"/>
        <v/>
      </c>
      <c r="BW7" s="93" t="str">
        <f t="shared" si="26"/>
        <v/>
      </c>
      <c r="BX7" s="31" t="str">
        <f t="shared" si="44"/>
        <v/>
      </c>
      <c r="BY7" s="93" t="str">
        <f t="shared" si="27"/>
        <v/>
      </c>
      <c r="BZ7" s="31" t="str">
        <f t="shared" si="45"/>
        <v/>
      </c>
      <c r="CA7" s="93" t="str">
        <f t="shared" si="28"/>
        <v/>
      </c>
      <c r="CB7" s="31" t="str">
        <f t="shared" si="46"/>
        <v/>
      </c>
      <c r="CC7" s="93" t="str">
        <f t="shared" si="29"/>
        <v/>
      </c>
      <c r="CD7" s="31" t="str">
        <f t="shared" si="47"/>
        <v/>
      </c>
      <c r="CE7" s="93">
        <f t="shared" si="30"/>
        <v>4</v>
      </c>
      <c r="CF7" s="31">
        <f t="shared" si="48"/>
        <v>0.9270833333</v>
      </c>
      <c r="CG7" s="93">
        <f t="shared" si="31"/>
        <v>4</v>
      </c>
      <c r="CH7" s="31">
        <f t="shared" si="49"/>
        <v>0.9270833333</v>
      </c>
      <c r="CI7" s="93" t="str">
        <f t="shared" si="32"/>
        <v/>
      </c>
      <c r="CJ7" s="31" t="str">
        <f t="shared" si="50"/>
        <v/>
      </c>
      <c r="CK7" s="93" t="str">
        <f t="shared" si="33"/>
        <v/>
      </c>
      <c r="CL7" s="31" t="str">
        <f t="shared" si="51"/>
        <v/>
      </c>
      <c r="CM7" s="93" t="str">
        <f t="shared" si="34"/>
        <v/>
      </c>
      <c r="CN7" s="31" t="str">
        <f t="shared" si="52"/>
        <v/>
      </c>
      <c r="CO7" s="93" t="str">
        <f t="shared" si="35"/>
        <v/>
      </c>
      <c r="CP7" s="31" t="str">
        <f t="shared" si="53"/>
        <v/>
      </c>
      <c r="CQ7" s="83"/>
      <c r="CR7" s="112" t="str">
        <f>IF($CR$6="A LINE START","A",IF($CR$6="B LINE START","B",IF($CR$6="C LINE START","C",IF($CR$6="D LINE START","D",IF($CR$6="COM LINE START","E",IF($CR$6="TCP A LINE START","F",IF($CR$6="TCP B LINE START","G",IF($CR$6="TCP C LINE START","H",IF($CR$6="LP STOPPAGE START","I",IF($CR$6="SP STOPPAGE START","J",""))))))))))</f>
        <v/>
      </c>
      <c r="CS7" s="113"/>
      <c r="CT7" s="114" t="str">
        <f>IF($CR$6="A LINE START","A",IF($CR$6="B LINE START","B",IF($CR$6="C LINE START","C",IF($CR$6="D LINE START","D",IF($CR$6="COM LINE START","E",IF($CR$6="TCP A LINE START","F",IF($CR$6="TCP B LINE START","G",IF($CR$6="TCP C LINE START","H",IF($CR$6="LP STOPPAGE START","I",IF($CR$6="SP STOPPAGE START","J",""))))))))))</f>
        <v/>
      </c>
      <c r="CU7" s="114"/>
      <c r="CV7" s="115" t="str">
        <f>IF($CV$6="A LINE STOP","A",IF($CV$6="B LINE STOP","B",IF($CV$6="C LINE STOP","C",IF($CV$6="D LINE STOP","D",IF($CV$6="COM LINE STOP","E",IF($CV$6="TCP A LINE STOP","F",IF($CV$6="TCP B LINE STOP","G",IF($CV$6="TCP C LINE STOP","H",IF($CV$6="LP STOPPAGE END","I",IF($CV$6="SP STOPPAGE END","J",""))))))))))</f>
        <v/>
      </c>
      <c r="CW7" s="116"/>
      <c r="CX7" s="114" t="str">
        <f>IF($CV$6="A LINE STOP","A",IF($CV$6="B LINE STOP","B",IF($CV$6="C LINE STOP","C",IF($CV$6="D LINE STOP","D",IF($CV$6="COM LINE STOP","E",IF($CV$6="TCP A LINE STOP","F",IF($CV$6="TCP B LINE STOP","G",IF($CV$6="TCP C LINE STOP","H",IF($CV$6="LP STOPPAGE END","I",IF($CV$6="SP STOPPAGE END","J",""))))))))))</f>
        <v/>
      </c>
      <c r="CY7" s="26"/>
      <c r="CZ7" s="26"/>
    </row>
    <row r="8">
      <c r="A8" s="26"/>
      <c r="B8" s="107"/>
      <c r="C8" s="108"/>
      <c r="D8" s="109" t="str">
        <f t="shared" si="55"/>
        <v/>
      </c>
      <c r="E8" s="107"/>
      <c r="F8" s="108"/>
      <c r="G8" s="109" t="str">
        <f t="shared" si="56"/>
        <v/>
      </c>
      <c r="H8" s="110"/>
      <c r="I8" s="108"/>
      <c r="J8" s="109" t="str">
        <f t="shared" si="57"/>
        <v/>
      </c>
      <c r="K8" s="107"/>
      <c r="L8" s="108"/>
      <c r="M8" s="109" t="str">
        <f t="shared" si="58"/>
        <v/>
      </c>
      <c r="N8" s="110"/>
      <c r="O8" s="108"/>
      <c r="P8" s="109" t="str">
        <f t="shared" si="59"/>
        <v/>
      </c>
      <c r="Q8" s="107"/>
      <c r="R8" s="108"/>
      <c r="S8" s="109" t="str">
        <f t="shared" si="60"/>
        <v/>
      </c>
      <c r="T8" s="110"/>
      <c r="U8" s="108"/>
      <c r="V8" s="109" t="str">
        <f t="shared" si="61"/>
        <v/>
      </c>
      <c r="W8" s="107"/>
      <c r="X8" s="108"/>
      <c r="Y8" s="109" t="str">
        <f t="shared" si="62"/>
        <v/>
      </c>
      <c r="Z8" s="90"/>
      <c r="AA8" s="90"/>
      <c r="AB8" s="41"/>
      <c r="AC8" s="41"/>
      <c r="AD8" s="41"/>
      <c r="AE8" s="41"/>
      <c r="AF8" s="41"/>
      <c r="AG8" s="26"/>
      <c r="AH8" s="26"/>
      <c r="AI8" s="26"/>
      <c r="AJ8" s="26"/>
      <c r="AK8" s="49"/>
      <c r="AL8" s="26"/>
      <c r="AM8" s="40">
        <f t="shared" si="11"/>
        <v>1.125</v>
      </c>
      <c r="AN8" s="26"/>
      <c r="AO8" s="41">
        <f t="shared" si="12"/>
        <v>0.02083333333</v>
      </c>
      <c r="AP8" s="26"/>
      <c r="AQ8" s="26" t="s">
        <v>84</v>
      </c>
      <c r="AR8" s="26"/>
      <c r="AS8" s="26" t="s">
        <v>85</v>
      </c>
      <c r="AT8" s="26"/>
      <c r="AU8" s="26"/>
      <c r="AV8" s="26"/>
      <c r="AW8" s="55"/>
      <c r="AX8" s="117"/>
      <c r="AY8" s="118"/>
      <c r="AZ8" s="26"/>
      <c r="BA8" s="93">
        <f t="shared" si="13"/>
        <v>5</v>
      </c>
      <c r="BB8" s="31">
        <f t="shared" si="36"/>
        <v>0.9305555556</v>
      </c>
      <c r="BC8" s="94">
        <f t="shared" si="14"/>
        <v>5</v>
      </c>
      <c r="BD8" s="31">
        <f t="shared" si="37"/>
        <v>0.9305555556</v>
      </c>
      <c r="BE8" s="95">
        <f t="shared" si="15"/>
        <v>0.9305555556</v>
      </c>
      <c r="BF8" s="93" t="str">
        <f t="shared" si="16"/>
        <v/>
      </c>
      <c r="BG8" s="31" t="str">
        <f t="shared" si="54"/>
        <v/>
      </c>
      <c r="BH8" s="95" t="str">
        <f t="shared" si="17"/>
        <v/>
      </c>
      <c r="BI8" s="93" t="str">
        <f t="shared" si="18"/>
        <v/>
      </c>
      <c r="BJ8" s="31" t="str">
        <f t="shared" si="38"/>
        <v/>
      </c>
      <c r="BK8" s="95" t="str">
        <f t="shared" si="19"/>
        <v/>
      </c>
      <c r="BL8" s="93" t="str">
        <f t="shared" si="20"/>
        <v/>
      </c>
      <c r="BM8" s="31" t="str">
        <f t="shared" si="39"/>
        <v/>
      </c>
      <c r="BN8" s="95" t="str">
        <f t="shared" si="21"/>
        <v/>
      </c>
      <c r="BO8" s="93">
        <f t="shared" si="22"/>
        <v>5</v>
      </c>
      <c r="BP8" s="31">
        <f t="shared" si="40"/>
        <v>0.9305555556</v>
      </c>
      <c r="BQ8" s="93" t="str">
        <f t="shared" si="23"/>
        <v/>
      </c>
      <c r="BR8" s="31" t="str">
        <f t="shared" si="41"/>
        <v/>
      </c>
      <c r="BS8" s="93" t="str">
        <f t="shared" si="24"/>
        <v/>
      </c>
      <c r="BT8" s="31" t="str">
        <f t="shared" si="42"/>
        <v/>
      </c>
      <c r="BU8" s="93" t="str">
        <f t="shared" si="25"/>
        <v/>
      </c>
      <c r="BV8" s="31" t="str">
        <f t="shared" si="43"/>
        <v/>
      </c>
      <c r="BW8" s="93" t="str">
        <f t="shared" si="26"/>
        <v/>
      </c>
      <c r="BX8" s="31" t="str">
        <f t="shared" si="44"/>
        <v/>
      </c>
      <c r="BY8" s="93" t="str">
        <f t="shared" si="27"/>
        <v/>
      </c>
      <c r="BZ8" s="31" t="str">
        <f t="shared" si="45"/>
        <v/>
      </c>
      <c r="CA8" s="93" t="str">
        <f t="shared" si="28"/>
        <v/>
      </c>
      <c r="CB8" s="31" t="str">
        <f t="shared" si="46"/>
        <v/>
      </c>
      <c r="CC8" s="93" t="str">
        <f t="shared" si="29"/>
        <v/>
      </c>
      <c r="CD8" s="31" t="str">
        <f t="shared" si="47"/>
        <v/>
      </c>
      <c r="CE8" s="93">
        <f t="shared" si="30"/>
        <v>5</v>
      </c>
      <c r="CF8" s="31">
        <f t="shared" si="48"/>
        <v>0.9305555556</v>
      </c>
      <c r="CG8" s="93">
        <f t="shared" si="31"/>
        <v>5</v>
      </c>
      <c r="CH8" s="31">
        <f t="shared" si="49"/>
        <v>0.9305555556</v>
      </c>
      <c r="CI8" s="93" t="str">
        <f t="shared" si="32"/>
        <v/>
      </c>
      <c r="CJ8" s="31" t="str">
        <f t="shared" si="50"/>
        <v/>
      </c>
      <c r="CK8" s="93" t="str">
        <f t="shared" si="33"/>
        <v/>
      </c>
      <c r="CL8" s="31" t="str">
        <f t="shared" si="51"/>
        <v/>
      </c>
      <c r="CM8" s="93" t="str">
        <f t="shared" si="34"/>
        <v/>
      </c>
      <c r="CN8" s="31" t="str">
        <f t="shared" si="52"/>
        <v/>
      </c>
      <c r="CO8" s="93" t="str">
        <f t="shared" si="35"/>
        <v/>
      </c>
      <c r="CP8" s="31" t="str">
        <f t="shared" si="53"/>
        <v/>
      </c>
      <c r="CQ8" s="79">
        <f t="shared" ref="CQ8:CQ16" si="63">IF(CR8="","",MAX(CQ$1:CQ7)+1)</f>
        <v>1</v>
      </c>
      <c r="CR8" s="119">
        <f>IF(AND(OR(CR7="A",CR7="B",CR7="C",CR7="D",CR7="E"),OR(K2&lt;&gt;L2,B2&lt;&gt;C2)),"",IF(AND(OR(CR7="F",CR7="G",CR7="H"),B2&lt;&gt;C2),"",IF(AND(CR7="I",OR(K2&lt;&gt;L2,B3&lt;&gt;C3)),"",IF(AND(CR7="J",OR(B2&lt;&gt;C2,B3&lt;&gt;C3)),"",IF(AND(CR7="A",E3&lt;&gt;F3),"",IF(AND(CR7="B",H3&lt;&gt;I3),"",IF(AND(CR7="C",K3&lt;&gt;L3),"",IF(AND(CR7="D",N3&lt;&gt;O3),"",IF(AND(CR7="E",B3&lt;&gt;C3),"",IF(AND(CR7="F",Q3&lt;&gt;R3),"",IF(AND(CR7="G",T3&lt;&gt;U3),"",IF(AND(CR7="H",W3&lt;&gt;X3),"",IF(AND(CR7="I",B2&lt;&gt;C2),"",IF(AND(CR7="J",K2&lt;&gt;L2),"",AM15))))))))))))))</f>
        <v>0.9166666667</v>
      </c>
      <c r="CS8" s="79">
        <f t="shared" ref="CS8:CS19" si="64">IF(CT8="","",MAX(CS$1:CS7)+1)</f>
        <v>1</v>
      </c>
      <c r="CT8" s="120">
        <f>IF(AND(OR(CT7="A",CT7="B",CT7="C",CT7="D",CT7="E"),OR(K2&lt;&gt;L2,B2&lt;&gt;C2)),"",IF(AND(OR(CT7="F",CT7="G",CT7="H"),B2&lt;&gt;C2),"",IF(AND(CT7="I",OR(K2&lt;&gt;L2,B3&lt;&gt;C3)),"",IF(AND(CT7="J",OR(B2&lt;&gt;C2,B3&lt;&gt;C3)),"",IF(AND(CT7="A",E3&lt;&gt;F3),"",IF(AND(CT7="B",H3&lt;&gt;I3),"",IF(AND(CT7="C",K3&lt;&gt;L3),"",IF(AND(CT7="D",N3&lt;&gt;O3),"",IF(AND(CT7="E",B3&lt;&gt;C3),"",IF(AND(CT7="F",Q3&lt;&gt;R3),"",IF(AND(CT7="G",T3&lt;&gt;U3),"",IF(AND(CT7="H",W3&lt;&gt;X3),"",IF(AND(CT7="I",B2&lt;&gt;C2),"",IF(AND(CT7="J",K2&lt;&gt;L2),"",AO2))))))))))))))</f>
        <v>0</v>
      </c>
      <c r="CU8" s="79" t="str">
        <f t="shared" ref="CU8:CU16" si="65">IF(CV8="","",MAX(CU$1:CU7)+1)</f>
        <v/>
      </c>
      <c r="CV8" s="121" t="str">
        <f>IF(AND(OR(CV7="A",CV7="B",CV7="C",CV7="D",CV7="E"),OR(K2&lt;&gt;L2,B2&lt;&gt;C2)),"",IF(AND(OR(CV7="F",CV7="G",CV7="H"),B2&lt;&gt;C2),"",IF(AND(CV7="I",OR(K2&lt;&gt;L2,B3&lt;&gt;C3)),"",IF(AND(CV7="J",OR(B2&lt;&gt;C2,B3&lt;&gt;C3)),"",IF(AND(CV7="A",E3&lt;&gt;F3),AM16,IF(AND(CV7="B",H3&lt;&gt;I3),AM16,IF(AND(CV7="C",K3&lt;&gt;L3),AM16,IF(AND(CV7="D",N3&lt;&gt;O3),AM16,IF(AND(CV7="E",B3&lt;&gt;C3),AM16,IF(AND(CV7="F",Q3&lt;&gt;R3),AM16,IF(AND(CV7="G",T3&lt;&gt;U3),AM16,IF(AND(CV7="H",W3&lt;&gt;X3),AM16,IF(AND(CV7="I",B2&lt;&gt;C2),AM16,IF(AND(CV7="J",K2&lt;&gt;L2),AM16,""))))))))))))))</f>
        <v/>
      </c>
      <c r="CW8" s="79" t="str">
        <f t="shared" ref="CW8:CW19" si="66">IF(CX8="","",MAX(CW$1:CW7)+1)</f>
        <v/>
      </c>
      <c r="CX8" s="122" t="str">
        <f>IF(AND(OR(CX7="A",CX7="B",CX7="C",CX7="D",CX7="E"),OR(K2&lt;&gt;L2,B2&lt;&gt;C2)),"",IF(AND(OR(CX7="F",CX7="G",CX7="H"),B2&lt;&gt;C2),"",IF(AND(CX7="I",OR(K2&lt;&gt;L2,B3&lt;&gt;C3)),"",IF(AND(CX7="J",OR(B2&lt;&gt;C2,B3&lt;&gt;C3)),"",IF(AND(CX7="A",E3&lt;&gt;F3),AO2,IF(AND(CX7="B",H3&lt;&gt;I3),AO2,IF(AND(CX7="C",K3&lt;&gt;L3),AO2,IF(AND(CX7="D",N3&lt;&gt;O3),AO2,IF(AND(CX7="E",B3&lt;&gt;C3),AO2,IF(AND(CX7="F",Q3&lt;&gt;R3),AO2,IF(AND(CX7="G",T3&lt;&gt;U3),AO2,IF(AND(CX7="H",W3&lt;&gt;X3),AO2,IF(AND(CX7="I",B2&lt;&gt;C2),AO2,IF(AND(CX7="J",K2&lt;&gt;L2),AO2,""))))))))))))))</f>
        <v/>
      </c>
      <c r="CY8" s="26"/>
      <c r="CZ8" s="26"/>
    </row>
    <row r="9">
      <c r="A9" s="26"/>
      <c r="B9" s="107"/>
      <c r="C9" s="108"/>
      <c r="D9" s="109" t="str">
        <f t="shared" si="55"/>
        <v/>
      </c>
      <c r="E9" s="107"/>
      <c r="F9" s="108"/>
      <c r="G9" s="109" t="str">
        <f t="shared" si="56"/>
        <v/>
      </c>
      <c r="H9" s="110"/>
      <c r="I9" s="108"/>
      <c r="J9" s="109" t="str">
        <f t="shared" si="57"/>
        <v/>
      </c>
      <c r="K9" s="107"/>
      <c r="L9" s="108"/>
      <c r="M9" s="109" t="str">
        <f t="shared" si="58"/>
        <v/>
      </c>
      <c r="N9" s="110"/>
      <c r="O9" s="108"/>
      <c r="P9" s="109" t="str">
        <f t="shared" si="59"/>
        <v/>
      </c>
      <c r="Q9" s="107"/>
      <c r="R9" s="108"/>
      <c r="S9" s="109" t="str">
        <f t="shared" si="60"/>
        <v/>
      </c>
      <c r="T9" s="110"/>
      <c r="U9" s="108"/>
      <c r="V9" s="109" t="str">
        <f t="shared" si="61"/>
        <v/>
      </c>
      <c r="W9" s="107"/>
      <c r="X9" s="108"/>
      <c r="Y9" s="109" t="str">
        <f t="shared" si="62"/>
        <v/>
      </c>
      <c r="Z9" s="90"/>
      <c r="AA9" s="90"/>
      <c r="AB9" s="41"/>
      <c r="AC9" s="41"/>
      <c r="AD9" s="41"/>
      <c r="AE9" s="41"/>
      <c r="AF9" s="41"/>
      <c r="AG9" s="26"/>
      <c r="AH9" s="26"/>
      <c r="AI9" s="26"/>
      <c r="AJ9" s="26"/>
      <c r="AK9" s="49"/>
      <c r="AL9" s="26"/>
      <c r="AM9" s="40">
        <f t="shared" si="11"/>
        <v>1.166666667</v>
      </c>
      <c r="AN9" s="26"/>
      <c r="AO9" s="41">
        <f t="shared" si="12"/>
        <v>0.02430555556</v>
      </c>
      <c r="AP9" s="26"/>
      <c r="AQ9" s="26" t="s">
        <v>86</v>
      </c>
      <c r="AR9" s="26"/>
      <c r="AS9" s="26" t="s">
        <v>87</v>
      </c>
      <c r="AT9" s="26"/>
      <c r="AU9" s="26"/>
      <c r="AV9" s="26"/>
      <c r="AW9" s="26"/>
      <c r="AX9" s="26"/>
      <c r="AY9" s="26"/>
      <c r="AZ9" s="26"/>
      <c r="BA9" s="93">
        <f t="shared" si="13"/>
        <v>6</v>
      </c>
      <c r="BB9" s="31">
        <f t="shared" si="36"/>
        <v>0.9340277778</v>
      </c>
      <c r="BC9" s="94">
        <f t="shared" si="14"/>
        <v>6</v>
      </c>
      <c r="BD9" s="31">
        <f t="shared" si="37"/>
        <v>0.9340277778</v>
      </c>
      <c r="BE9" s="95">
        <f t="shared" si="15"/>
        <v>0.9340277778</v>
      </c>
      <c r="BF9" s="93" t="str">
        <f t="shared" si="16"/>
        <v/>
      </c>
      <c r="BG9" s="31" t="str">
        <f t="shared" si="54"/>
        <v/>
      </c>
      <c r="BH9" s="95" t="str">
        <f t="shared" si="17"/>
        <v/>
      </c>
      <c r="BI9" s="93" t="str">
        <f t="shared" si="18"/>
        <v/>
      </c>
      <c r="BJ9" s="31" t="str">
        <f t="shared" si="38"/>
        <v/>
      </c>
      <c r="BK9" s="95" t="str">
        <f t="shared" si="19"/>
        <v/>
      </c>
      <c r="BL9" s="93" t="str">
        <f t="shared" si="20"/>
        <v/>
      </c>
      <c r="BM9" s="31" t="str">
        <f t="shared" si="39"/>
        <v/>
      </c>
      <c r="BN9" s="95" t="str">
        <f t="shared" si="21"/>
        <v/>
      </c>
      <c r="BO9" s="93">
        <f t="shared" si="22"/>
        <v>6</v>
      </c>
      <c r="BP9" s="31">
        <f t="shared" si="40"/>
        <v>0.9340277778</v>
      </c>
      <c r="BQ9" s="93" t="str">
        <f t="shared" si="23"/>
        <v/>
      </c>
      <c r="BR9" s="31" t="str">
        <f t="shared" si="41"/>
        <v/>
      </c>
      <c r="BS9" s="93" t="str">
        <f t="shared" si="24"/>
        <v/>
      </c>
      <c r="BT9" s="31" t="str">
        <f t="shared" si="42"/>
        <v/>
      </c>
      <c r="BU9" s="93" t="str">
        <f t="shared" si="25"/>
        <v/>
      </c>
      <c r="BV9" s="31" t="str">
        <f t="shared" si="43"/>
        <v/>
      </c>
      <c r="BW9" s="93" t="str">
        <f t="shared" si="26"/>
        <v/>
      </c>
      <c r="BX9" s="31" t="str">
        <f t="shared" si="44"/>
        <v/>
      </c>
      <c r="BY9" s="93" t="str">
        <f t="shared" si="27"/>
        <v/>
      </c>
      <c r="BZ9" s="31" t="str">
        <f t="shared" si="45"/>
        <v/>
      </c>
      <c r="CA9" s="93" t="str">
        <f t="shared" si="28"/>
        <v/>
      </c>
      <c r="CB9" s="31" t="str">
        <f t="shared" si="46"/>
        <v/>
      </c>
      <c r="CC9" s="93" t="str">
        <f t="shared" si="29"/>
        <v/>
      </c>
      <c r="CD9" s="31" t="str">
        <f t="shared" si="47"/>
        <v/>
      </c>
      <c r="CE9" s="93">
        <f t="shared" si="30"/>
        <v>6</v>
      </c>
      <c r="CF9" s="31">
        <f t="shared" si="48"/>
        <v>0.9340277778</v>
      </c>
      <c r="CG9" s="93">
        <f t="shared" si="31"/>
        <v>6</v>
      </c>
      <c r="CH9" s="31">
        <f t="shared" si="49"/>
        <v>0.9340277778</v>
      </c>
      <c r="CI9" s="93" t="str">
        <f t="shared" si="32"/>
        <v/>
      </c>
      <c r="CJ9" s="31" t="str">
        <f t="shared" si="50"/>
        <v/>
      </c>
      <c r="CK9" s="93" t="str">
        <f t="shared" si="33"/>
        <v/>
      </c>
      <c r="CL9" s="31" t="str">
        <f t="shared" si="51"/>
        <v/>
      </c>
      <c r="CM9" s="93" t="str">
        <f t="shared" si="34"/>
        <v/>
      </c>
      <c r="CN9" s="31" t="str">
        <f t="shared" si="52"/>
        <v/>
      </c>
      <c r="CO9" s="93" t="str">
        <f t="shared" si="35"/>
        <v/>
      </c>
      <c r="CP9" s="31" t="str">
        <f t="shared" si="53"/>
        <v/>
      </c>
      <c r="CQ9" s="79">
        <f t="shared" si="63"/>
        <v>2</v>
      </c>
      <c r="CR9" s="123">
        <f t="shared" ref="CR9:CR16" si="67">IF(OR($CR$8="",CR8=$AM$11,CR8=""),"",CR8+TIME(1,0,0))</f>
        <v>0.9583333333</v>
      </c>
      <c r="CS9" s="79">
        <f t="shared" si="64"/>
        <v>2</v>
      </c>
      <c r="CT9" s="124">
        <f t="shared" ref="CT9:CT19" si="68">IF($CT$8="","",CT8+TIME(0,5,0))</f>
        <v>0.003472222222</v>
      </c>
      <c r="CU9" s="79" t="str">
        <f t="shared" si="65"/>
        <v/>
      </c>
      <c r="CV9" s="125" t="str">
        <f t="shared" ref="CV9:CV16" si="69">IF(OR($CV$8="",CV8=$AM$11,CV8=""),"",CV8+TIME(1,0,0))</f>
        <v/>
      </c>
      <c r="CW9" s="79" t="str">
        <f t="shared" si="66"/>
        <v/>
      </c>
      <c r="CX9" s="126" t="str">
        <f t="shared" ref="CX9:CX19" si="70">IF($CX$8="","",CX8+TIME(0,5,0))</f>
        <v/>
      </c>
      <c r="CY9" s="127"/>
      <c r="CZ9" s="40"/>
    </row>
    <row r="10">
      <c r="A10" s="26"/>
      <c r="B10" s="107"/>
      <c r="C10" s="108"/>
      <c r="D10" s="109" t="str">
        <f t="shared" si="55"/>
        <v/>
      </c>
      <c r="E10" s="107"/>
      <c r="F10" s="108"/>
      <c r="G10" s="109" t="str">
        <f t="shared" si="56"/>
        <v/>
      </c>
      <c r="H10" s="110"/>
      <c r="I10" s="108"/>
      <c r="J10" s="109" t="str">
        <f t="shared" si="57"/>
        <v/>
      </c>
      <c r="K10" s="107"/>
      <c r="L10" s="108"/>
      <c r="M10" s="109" t="str">
        <f t="shared" si="58"/>
        <v/>
      </c>
      <c r="N10" s="110"/>
      <c r="O10" s="108"/>
      <c r="P10" s="109" t="str">
        <f t="shared" si="59"/>
        <v/>
      </c>
      <c r="Q10" s="107"/>
      <c r="R10" s="108"/>
      <c r="S10" s="109" t="str">
        <f t="shared" si="60"/>
        <v/>
      </c>
      <c r="T10" s="110"/>
      <c r="U10" s="108"/>
      <c r="V10" s="109" t="str">
        <f t="shared" si="61"/>
        <v/>
      </c>
      <c r="W10" s="107"/>
      <c r="X10" s="108"/>
      <c r="Y10" s="109" t="str">
        <f t="shared" si="62"/>
        <v/>
      </c>
      <c r="Z10" s="90"/>
      <c r="AA10" s="90"/>
      <c r="AB10" s="41"/>
      <c r="AC10" s="41"/>
      <c r="AD10" s="41"/>
      <c r="AE10" s="41"/>
      <c r="AF10" s="41"/>
      <c r="AG10" s="26"/>
      <c r="AH10" s="26"/>
      <c r="AI10" s="26"/>
      <c r="AJ10" s="26"/>
      <c r="AK10" s="49"/>
      <c r="AL10" s="26"/>
      <c r="AM10" s="40">
        <f t="shared" si="11"/>
        <v>1.208333333</v>
      </c>
      <c r="AN10" s="26"/>
      <c r="AO10" s="41">
        <f t="shared" si="12"/>
        <v>0.02777777778</v>
      </c>
      <c r="AP10" s="26"/>
      <c r="AQ10" s="26" t="s">
        <v>88</v>
      </c>
      <c r="AR10" s="26"/>
      <c r="AS10" s="26" t="s">
        <v>89</v>
      </c>
      <c r="AT10" s="26"/>
      <c r="AU10" s="26"/>
      <c r="AV10" s="26"/>
      <c r="AW10" s="26"/>
      <c r="AX10" s="26"/>
      <c r="AY10" s="26"/>
      <c r="AZ10" s="26"/>
      <c r="BA10" s="93">
        <f t="shared" si="13"/>
        <v>7</v>
      </c>
      <c r="BB10" s="31">
        <f t="shared" si="36"/>
        <v>0.9375</v>
      </c>
      <c r="BC10" s="94">
        <f t="shared" si="14"/>
        <v>7</v>
      </c>
      <c r="BD10" s="31">
        <f t="shared" si="37"/>
        <v>0.9375</v>
      </c>
      <c r="BE10" s="95">
        <f t="shared" si="15"/>
        <v>0.9375</v>
      </c>
      <c r="BF10" s="93" t="str">
        <f t="shared" si="16"/>
        <v/>
      </c>
      <c r="BG10" s="31" t="str">
        <f t="shared" si="54"/>
        <v/>
      </c>
      <c r="BH10" s="95" t="str">
        <f t="shared" si="17"/>
        <v/>
      </c>
      <c r="BI10" s="93" t="str">
        <f t="shared" si="18"/>
        <v/>
      </c>
      <c r="BJ10" s="31" t="str">
        <f t="shared" si="38"/>
        <v/>
      </c>
      <c r="BK10" s="95" t="str">
        <f t="shared" si="19"/>
        <v/>
      </c>
      <c r="BL10" s="93" t="str">
        <f t="shared" si="20"/>
        <v/>
      </c>
      <c r="BM10" s="31" t="str">
        <f t="shared" si="39"/>
        <v/>
      </c>
      <c r="BN10" s="95" t="str">
        <f t="shared" si="21"/>
        <v/>
      </c>
      <c r="BO10" s="93">
        <f t="shared" si="22"/>
        <v>7</v>
      </c>
      <c r="BP10" s="31">
        <f t="shared" si="40"/>
        <v>0.9375</v>
      </c>
      <c r="BQ10" s="93" t="str">
        <f t="shared" si="23"/>
        <v/>
      </c>
      <c r="BR10" s="31" t="str">
        <f t="shared" si="41"/>
        <v/>
      </c>
      <c r="BS10" s="93" t="str">
        <f t="shared" si="24"/>
        <v/>
      </c>
      <c r="BT10" s="31" t="str">
        <f t="shared" si="42"/>
        <v/>
      </c>
      <c r="BU10" s="93" t="str">
        <f t="shared" si="25"/>
        <v/>
      </c>
      <c r="BV10" s="31" t="str">
        <f t="shared" si="43"/>
        <v/>
      </c>
      <c r="BW10" s="93" t="str">
        <f t="shared" si="26"/>
        <v/>
      </c>
      <c r="BX10" s="31" t="str">
        <f t="shared" si="44"/>
        <v/>
      </c>
      <c r="BY10" s="93" t="str">
        <f t="shared" si="27"/>
        <v/>
      </c>
      <c r="BZ10" s="31" t="str">
        <f t="shared" si="45"/>
        <v/>
      </c>
      <c r="CA10" s="93" t="str">
        <f t="shared" si="28"/>
        <v/>
      </c>
      <c r="CB10" s="31" t="str">
        <f t="shared" si="46"/>
        <v/>
      </c>
      <c r="CC10" s="93" t="str">
        <f t="shared" si="29"/>
        <v/>
      </c>
      <c r="CD10" s="31" t="str">
        <f t="shared" si="47"/>
        <v/>
      </c>
      <c r="CE10" s="93">
        <f t="shared" si="30"/>
        <v>7</v>
      </c>
      <c r="CF10" s="31">
        <f t="shared" si="48"/>
        <v>0.9375</v>
      </c>
      <c r="CG10" s="93">
        <f t="shared" si="31"/>
        <v>7</v>
      </c>
      <c r="CH10" s="31">
        <f t="shared" si="49"/>
        <v>0.9375</v>
      </c>
      <c r="CI10" s="93" t="str">
        <f t="shared" si="32"/>
        <v/>
      </c>
      <c r="CJ10" s="31" t="str">
        <f t="shared" si="50"/>
        <v/>
      </c>
      <c r="CK10" s="93" t="str">
        <f t="shared" si="33"/>
        <v/>
      </c>
      <c r="CL10" s="31" t="str">
        <f t="shared" si="51"/>
        <v/>
      </c>
      <c r="CM10" s="93" t="str">
        <f t="shared" si="34"/>
        <v/>
      </c>
      <c r="CN10" s="31" t="str">
        <f t="shared" si="52"/>
        <v/>
      </c>
      <c r="CO10" s="93" t="str">
        <f t="shared" si="35"/>
        <v/>
      </c>
      <c r="CP10" s="31" t="str">
        <f t="shared" si="53"/>
        <v/>
      </c>
      <c r="CQ10" s="79">
        <f t="shared" si="63"/>
        <v>3</v>
      </c>
      <c r="CR10" s="123">
        <f t="shared" si="67"/>
        <v>1</v>
      </c>
      <c r="CS10" s="79">
        <f t="shared" si="64"/>
        <v>3</v>
      </c>
      <c r="CT10" s="124">
        <f t="shared" si="68"/>
        <v>0.006944444444</v>
      </c>
      <c r="CU10" s="79" t="str">
        <f t="shared" si="65"/>
        <v/>
      </c>
      <c r="CV10" s="125" t="str">
        <f t="shared" si="69"/>
        <v/>
      </c>
      <c r="CW10" s="79" t="str">
        <f t="shared" si="66"/>
        <v/>
      </c>
      <c r="CX10" s="126" t="str">
        <f t="shared" si="70"/>
        <v/>
      </c>
      <c r="CY10" s="40"/>
      <c r="CZ10" s="26"/>
    </row>
    <row r="11">
      <c r="A11" s="26"/>
      <c r="B11" s="107"/>
      <c r="C11" s="108"/>
      <c r="D11" s="128" t="str">
        <f t="shared" si="55"/>
        <v/>
      </c>
      <c r="E11" s="107"/>
      <c r="F11" s="108"/>
      <c r="G11" s="109" t="str">
        <f t="shared" si="56"/>
        <v/>
      </c>
      <c r="H11" s="110"/>
      <c r="I11" s="108"/>
      <c r="J11" s="109" t="str">
        <f t="shared" si="57"/>
        <v/>
      </c>
      <c r="K11" s="107"/>
      <c r="L11" s="108"/>
      <c r="M11" s="109" t="str">
        <f t="shared" si="58"/>
        <v/>
      </c>
      <c r="N11" s="110"/>
      <c r="O11" s="108"/>
      <c r="P11" s="109" t="str">
        <f t="shared" si="59"/>
        <v/>
      </c>
      <c r="Q11" s="107"/>
      <c r="R11" s="108"/>
      <c r="S11" s="109" t="str">
        <f t="shared" si="60"/>
        <v/>
      </c>
      <c r="T11" s="110"/>
      <c r="U11" s="108"/>
      <c r="V11" s="109" t="str">
        <f t="shared" si="61"/>
        <v/>
      </c>
      <c r="W11" s="107"/>
      <c r="X11" s="108"/>
      <c r="Y11" s="109" t="str">
        <f t="shared" si="62"/>
        <v/>
      </c>
      <c r="Z11" s="90"/>
      <c r="AA11" s="90"/>
      <c r="AB11" s="41"/>
      <c r="AC11" s="41"/>
      <c r="AD11" s="41"/>
      <c r="AE11" s="41"/>
      <c r="AF11" s="41"/>
      <c r="AG11" s="26"/>
      <c r="AH11" s="26"/>
      <c r="AI11" s="26"/>
      <c r="AJ11" s="26"/>
      <c r="AK11" s="49"/>
      <c r="AL11" s="26"/>
      <c r="AM11" s="40">
        <f t="shared" si="11"/>
        <v>1.25</v>
      </c>
      <c r="AN11" s="26"/>
      <c r="AO11" s="41">
        <f t="shared" si="12"/>
        <v>0.03125</v>
      </c>
      <c r="AP11" s="26"/>
      <c r="AQ11" s="26" t="s">
        <v>90</v>
      </c>
      <c r="AR11" s="26"/>
      <c r="AS11" s="26" t="s">
        <v>91</v>
      </c>
      <c r="AT11" s="26"/>
      <c r="AU11" s="26"/>
      <c r="AV11" s="26"/>
      <c r="AW11" s="26"/>
      <c r="AX11" s="26"/>
      <c r="AY11" s="26"/>
      <c r="AZ11" s="26"/>
      <c r="BA11" s="93">
        <f t="shared" si="13"/>
        <v>8</v>
      </c>
      <c r="BB11" s="31">
        <f t="shared" si="36"/>
        <v>0.9409722222</v>
      </c>
      <c r="BC11" s="94">
        <f t="shared" si="14"/>
        <v>8</v>
      </c>
      <c r="BD11" s="31">
        <f t="shared" si="37"/>
        <v>0.9409722222</v>
      </c>
      <c r="BE11" s="95">
        <f t="shared" si="15"/>
        <v>0.9409722222</v>
      </c>
      <c r="BF11" s="93" t="str">
        <f t="shared" si="16"/>
        <v/>
      </c>
      <c r="BG11" s="31" t="str">
        <f t="shared" si="54"/>
        <v/>
      </c>
      <c r="BH11" s="95" t="str">
        <f t="shared" si="17"/>
        <v/>
      </c>
      <c r="BI11" s="93" t="str">
        <f t="shared" si="18"/>
        <v/>
      </c>
      <c r="BJ11" s="31" t="str">
        <f t="shared" si="38"/>
        <v/>
      </c>
      <c r="BK11" s="95" t="str">
        <f t="shared" si="19"/>
        <v/>
      </c>
      <c r="BL11" s="93" t="str">
        <f t="shared" si="20"/>
        <v/>
      </c>
      <c r="BM11" s="31" t="str">
        <f t="shared" si="39"/>
        <v/>
      </c>
      <c r="BN11" s="95" t="str">
        <f t="shared" si="21"/>
        <v/>
      </c>
      <c r="BO11" s="93">
        <f t="shared" si="22"/>
        <v>8</v>
      </c>
      <c r="BP11" s="31">
        <f t="shared" si="40"/>
        <v>0.9409722222</v>
      </c>
      <c r="BQ11" s="93" t="str">
        <f t="shared" si="23"/>
        <v/>
      </c>
      <c r="BR11" s="31" t="str">
        <f t="shared" si="41"/>
        <v/>
      </c>
      <c r="BS11" s="93" t="str">
        <f t="shared" si="24"/>
        <v/>
      </c>
      <c r="BT11" s="31" t="str">
        <f t="shared" si="42"/>
        <v/>
      </c>
      <c r="BU11" s="93" t="str">
        <f t="shared" si="25"/>
        <v/>
      </c>
      <c r="BV11" s="31" t="str">
        <f t="shared" si="43"/>
        <v/>
      </c>
      <c r="BW11" s="93" t="str">
        <f t="shared" si="26"/>
        <v/>
      </c>
      <c r="BX11" s="31" t="str">
        <f t="shared" si="44"/>
        <v/>
      </c>
      <c r="BY11" s="93" t="str">
        <f t="shared" si="27"/>
        <v/>
      </c>
      <c r="BZ11" s="31" t="str">
        <f t="shared" si="45"/>
        <v/>
      </c>
      <c r="CA11" s="93" t="str">
        <f t="shared" si="28"/>
        <v/>
      </c>
      <c r="CB11" s="31" t="str">
        <f t="shared" si="46"/>
        <v/>
      </c>
      <c r="CC11" s="93" t="str">
        <f t="shared" si="29"/>
        <v/>
      </c>
      <c r="CD11" s="31" t="str">
        <f t="shared" si="47"/>
        <v/>
      </c>
      <c r="CE11" s="93">
        <f t="shared" si="30"/>
        <v>8</v>
      </c>
      <c r="CF11" s="31">
        <f t="shared" si="48"/>
        <v>0.9409722222</v>
      </c>
      <c r="CG11" s="93">
        <f t="shared" si="31"/>
        <v>8</v>
      </c>
      <c r="CH11" s="31">
        <f t="shared" si="49"/>
        <v>0.9409722222</v>
      </c>
      <c r="CI11" s="93" t="str">
        <f t="shared" si="32"/>
        <v/>
      </c>
      <c r="CJ11" s="31" t="str">
        <f t="shared" si="50"/>
        <v/>
      </c>
      <c r="CK11" s="93" t="str">
        <f t="shared" si="33"/>
        <v/>
      </c>
      <c r="CL11" s="31" t="str">
        <f t="shared" si="51"/>
        <v/>
      </c>
      <c r="CM11" s="93" t="str">
        <f t="shared" si="34"/>
        <v/>
      </c>
      <c r="CN11" s="31" t="str">
        <f t="shared" si="52"/>
        <v/>
      </c>
      <c r="CO11" s="93" t="str">
        <f t="shared" si="35"/>
        <v/>
      </c>
      <c r="CP11" s="31" t="str">
        <f t="shared" si="53"/>
        <v/>
      </c>
      <c r="CQ11" s="79">
        <f t="shared" si="63"/>
        <v>4</v>
      </c>
      <c r="CR11" s="123">
        <f t="shared" si="67"/>
        <v>1.041666667</v>
      </c>
      <c r="CS11" s="79">
        <f t="shared" si="64"/>
        <v>4</v>
      </c>
      <c r="CT11" s="124">
        <f t="shared" si="68"/>
        <v>0.01041666667</v>
      </c>
      <c r="CU11" s="79" t="str">
        <f t="shared" si="65"/>
        <v/>
      </c>
      <c r="CV11" s="125" t="str">
        <f t="shared" si="69"/>
        <v/>
      </c>
      <c r="CW11" s="79" t="str">
        <f t="shared" si="66"/>
        <v/>
      </c>
      <c r="CX11" s="126" t="str">
        <f t="shared" si="70"/>
        <v/>
      </c>
      <c r="CY11" s="26"/>
      <c r="CZ11" s="26"/>
    </row>
    <row r="12">
      <c r="A12" s="26"/>
      <c r="B12" s="107"/>
      <c r="C12" s="108"/>
      <c r="D12" s="109" t="str">
        <f t="shared" si="55"/>
        <v/>
      </c>
      <c r="E12" s="107"/>
      <c r="F12" s="108"/>
      <c r="G12" s="109" t="str">
        <f t="shared" si="56"/>
        <v/>
      </c>
      <c r="H12" s="110"/>
      <c r="I12" s="108"/>
      <c r="J12" s="109" t="str">
        <f t="shared" si="57"/>
        <v/>
      </c>
      <c r="K12" s="107"/>
      <c r="L12" s="108"/>
      <c r="M12" s="109" t="str">
        <f t="shared" si="58"/>
        <v/>
      </c>
      <c r="N12" s="110"/>
      <c r="O12" s="108"/>
      <c r="P12" s="109" t="str">
        <f t="shared" si="59"/>
        <v/>
      </c>
      <c r="Q12" s="107"/>
      <c r="R12" s="108"/>
      <c r="S12" s="109" t="str">
        <f t="shared" si="60"/>
        <v/>
      </c>
      <c r="T12" s="110"/>
      <c r="U12" s="108"/>
      <c r="V12" s="109" t="str">
        <f t="shared" si="61"/>
        <v/>
      </c>
      <c r="W12" s="107"/>
      <c r="X12" s="108"/>
      <c r="Y12" s="109" t="str">
        <f t="shared" si="62"/>
        <v/>
      </c>
      <c r="Z12" s="90"/>
      <c r="AA12" s="90"/>
      <c r="AB12" s="41"/>
      <c r="AC12" s="41"/>
      <c r="AD12" s="41"/>
      <c r="AE12" s="41"/>
      <c r="AF12" s="41"/>
      <c r="AG12" s="26"/>
      <c r="AH12" s="26"/>
      <c r="AI12" s="26"/>
      <c r="AJ12" s="26"/>
      <c r="AK12" s="49"/>
      <c r="AL12" s="26"/>
      <c r="AM12" s="129"/>
      <c r="AN12" s="26"/>
      <c r="AO12" s="41">
        <f t="shared" si="12"/>
        <v>0.03472222222</v>
      </c>
      <c r="AP12" s="26"/>
      <c r="AQ12" s="26" t="s">
        <v>92</v>
      </c>
      <c r="AR12" s="26"/>
      <c r="AS12" s="26" t="s">
        <v>93</v>
      </c>
      <c r="AT12" s="26"/>
      <c r="AU12" s="26"/>
      <c r="AV12" s="26"/>
      <c r="AW12" s="26"/>
      <c r="AX12" s="26"/>
      <c r="AY12" s="26"/>
      <c r="AZ12" s="26"/>
      <c r="BA12" s="93">
        <f t="shared" si="13"/>
        <v>9</v>
      </c>
      <c r="BB12" s="31">
        <f t="shared" si="36"/>
        <v>0.9444444444</v>
      </c>
      <c r="BC12" s="94">
        <f t="shared" si="14"/>
        <v>9</v>
      </c>
      <c r="BD12" s="31">
        <f t="shared" si="37"/>
        <v>0.9444444444</v>
      </c>
      <c r="BE12" s="95">
        <f t="shared" si="15"/>
        <v>0.9444444444</v>
      </c>
      <c r="BF12" s="93" t="str">
        <f t="shared" si="16"/>
        <v/>
      </c>
      <c r="BG12" s="31" t="str">
        <f t="shared" si="54"/>
        <v/>
      </c>
      <c r="BH12" s="95" t="str">
        <f t="shared" si="17"/>
        <v/>
      </c>
      <c r="BI12" s="93" t="str">
        <f t="shared" si="18"/>
        <v/>
      </c>
      <c r="BJ12" s="31" t="str">
        <f t="shared" si="38"/>
        <v/>
      </c>
      <c r="BK12" s="95" t="str">
        <f t="shared" si="19"/>
        <v/>
      </c>
      <c r="BL12" s="93" t="str">
        <f t="shared" si="20"/>
        <v/>
      </c>
      <c r="BM12" s="31" t="str">
        <f t="shared" si="39"/>
        <v/>
      </c>
      <c r="BN12" s="95" t="str">
        <f t="shared" si="21"/>
        <v/>
      </c>
      <c r="BO12" s="93">
        <f t="shared" si="22"/>
        <v>9</v>
      </c>
      <c r="BP12" s="31">
        <f t="shared" si="40"/>
        <v>0.9444444444</v>
      </c>
      <c r="BQ12" s="93" t="str">
        <f t="shared" si="23"/>
        <v/>
      </c>
      <c r="BR12" s="31" t="str">
        <f t="shared" si="41"/>
        <v/>
      </c>
      <c r="BS12" s="93" t="str">
        <f t="shared" si="24"/>
        <v/>
      </c>
      <c r="BT12" s="31" t="str">
        <f t="shared" si="42"/>
        <v/>
      </c>
      <c r="BU12" s="93" t="str">
        <f t="shared" si="25"/>
        <v/>
      </c>
      <c r="BV12" s="31" t="str">
        <f t="shared" si="43"/>
        <v/>
      </c>
      <c r="BW12" s="93" t="str">
        <f t="shared" si="26"/>
        <v/>
      </c>
      <c r="BX12" s="31" t="str">
        <f t="shared" si="44"/>
        <v/>
      </c>
      <c r="BY12" s="93" t="str">
        <f t="shared" si="27"/>
        <v/>
      </c>
      <c r="BZ12" s="31" t="str">
        <f t="shared" si="45"/>
        <v/>
      </c>
      <c r="CA12" s="93" t="str">
        <f t="shared" si="28"/>
        <v/>
      </c>
      <c r="CB12" s="31" t="str">
        <f t="shared" si="46"/>
        <v/>
      </c>
      <c r="CC12" s="93" t="str">
        <f t="shared" si="29"/>
        <v/>
      </c>
      <c r="CD12" s="31" t="str">
        <f t="shared" si="47"/>
        <v/>
      </c>
      <c r="CE12" s="93">
        <f t="shared" si="30"/>
        <v>9</v>
      </c>
      <c r="CF12" s="31">
        <f t="shared" si="48"/>
        <v>0.9444444444</v>
      </c>
      <c r="CG12" s="93">
        <f t="shared" si="31"/>
        <v>9</v>
      </c>
      <c r="CH12" s="31">
        <f t="shared" si="49"/>
        <v>0.9444444444</v>
      </c>
      <c r="CI12" s="93" t="str">
        <f t="shared" si="32"/>
        <v/>
      </c>
      <c r="CJ12" s="31" t="str">
        <f t="shared" si="50"/>
        <v/>
      </c>
      <c r="CK12" s="93" t="str">
        <f t="shared" si="33"/>
        <v/>
      </c>
      <c r="CL12" s="31" t="str">
        <f t="shared" si="51"/>
        <v/>
      </c>
      <c r="CM12" s="93" t="str">
        <f t="shared" si="34"/>
        <v/>
      </c>
      <c r="CN12" s="31" t="str">
        <f t="shared" si="52"/>
        <v/>
      </c>
      <c r="CO12" s="93" t="str">
        <f t="shared" si="35"/>
        <v/>
      </c>
      <c r="CP12" s="31" t="str">
        <f t="shared" si="53"/>
        <v/>
      </c>
      <c r="CQ12" s="79">
        <f t="shared" si="63"/>
        <v>5</v>
      </c>
      <c r="CR12" s="123">
        <f t="shared" si="67"/>
        <v>1.083333333</v>
      </c>
      <c r="CS12" s="79">
        <f t="shared" si="64"/>
        <v>5</v>
      </c>
      <c r="CT12" s="124">
        <f t="shared" si="68"/>
        <v>0.01388888889</v>
      </c>
      <c r="CU12" s="79" t="str">
        <f t="shared" si="65"/>
        <v/>
      </c>
      <c r="CV12" s="125" t="str">
        <f t="shared" si="69"/>
        <v/>
      </c>
      <c r="CW12" s="79" t="str">
        <f t="shared" si="66"/>
        <v/>
      </c>
      <c r="CX12" s="126" t="str">
        <f t="shared" si="70"/>
        <v/>
      </c>
      <c r="CY12" s="26"/>
      <c r="CZ12" s="26"/>
    </row>
    <row r="13">
      <c r="A13" s="26"/>
      <c r="B13" s="107"/>
      <c r="C13" s="108"/>
      <c r="D13" s="109" t="str">
        <f t="shared" si="55"/>
        <v/>
      </c>
      <c r="E13" s="107"/>
      <c r="F13" s="108"/>
      <c r="G13" s="109" t="str">
        <f t="shared" si="56"/>
        <v/>
      </c>
      <c r="H13" s="110"/>
      <c r="I13" s="108"/>
      <c r="J13" s="109" t="str">
        <f t="shared" si="57"/>
        <v/>
      </c>
      <c r="K13" s="107"/>
      <c r="L13" s="108"/>
      <c r="M13" s="109" t="str">
        <f t="shared" si="58"/>
        <v/>
      </c>
      <c r="N13" s="110"/>
      <c r="O13" s="108"/>
      <c r="P13" s="109" t="str">
        <f t="shared" si="59"/>
        <v/>
      </c>
      <c r="Q13" s="107"/>
      <c r="R13" s="108"/>
      <c r="S13" s="109" t="str">
        <f t="shared" si="60"/>
        <v/>
      </c>
      <c r="T13" s="110"/>
      <c r="U13" s="108"/>
      <c r="V13" s="109" t="str">
        <f t="shared" si="61"/>
        <v/>
      </c>
      <c r="W13" s="107"/>
      <c r="X13" s="108"/>
      <c r="Y13" s="109" t="str">
        <f t="shared" si="62"/>
        <v/>
      </c>
      <c r="Z13" s="90"/>
      <c r="AA13" s="90"/>
      <c r="AB13" s="41"/>
      <c r="AC13" s="41"/>
      <c r="AD13" s="41"/>
      <c r="AE13" s="41"/>
      <c r="AF13" s="41"/>
      <c r="AG13" s="26"/>
      <c r="AH13" s="26"/>
      <c r="AI13" s="26"/>
      <c r="AJ13" s="26"/>
      <c r="AK13" s="49"/>
      <c r="AL13" s="26"/>
      <c r="AM13" s="26"/>
      <c r="AN13" s="26"/>
      <c r="AO13" s="41">
        <f t="shared" si="12"/>
        <v>0.03819444444</v>
      </c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93">
        <f t="shared" si="13"/>
        <v>10</v>
      </c>
      <c r="BB13" s="31">
        <f t="shared" si="36"/>
        <v>0.9479166667</v>
      </c>
      <c r="BC13" s="94">
        <f t="shared" si="14"/>
        <v>10</v>
      </c>
      <c r="BD13" s="31">
        <f t="shared" si="37"/>
        <v>0.9479166667</v>
      </c>
      <c r="BE13" s="95">
        <f t="shared" si="15"/>
        <v>0.9479166667</v>
      </c>
      <c r="BF13" s="93" t="str">
        <f t="shared" si="16"/>
        <v/>
      </c>
      <c r="BG13" s="31" t="str">
        <f t="shared" si="54"/>
        <v/>
      </c>
      <c r="BH13" s="95" t="str">
        <f t="shared" si="17"/>
        <v/>
      </c>
      <c r="BI13" s="93" t="str">
        <f t="shared" si="18"/>
        <v/>
      </c>
      <c r="BJ13" s="31" t="str">
        <f t="shared" si="38"/>
        <v/>
      </c>
      <c r="BK13" s="95" t="str">
        <f t="shared" si="19"/>
        <v/>
      </c>
      <c r="BL13" s="93" t="str">
        <f t="shared" si="20"/>
        <v/>
      </c>
      <c r="BM13" s="31" t="str">
        <f t="shared" si="39"/>
        <v/>
      </c>
      <c r="BN13" s="95" t="str">
        <f t="shared" si="21"/>
        <v/>
      </c>
      <c r="BO13" s="93">
        <f t="shared" si="22"/>
        <v>10</v>
      </c>
      <c r="BP13" s="31">
        <f t="shared" si="40"/>
        <v>0.9479166667</v>
      </c>
      <c r="BQ13" s="93" t="str">
        <f t="shared" si="23"/>
        <v/>
      </c>
      <c r="BR13" s="31" t="str">
        <f t="shared" si="41"/>
        <v/>
      </c>
      <c r="BS13" s="93" t="str">
        <f t="shared" si="24"/>
        <v/>
      </c>
      <c r="BT13" s="31" t="str">
        <f t="shared" si="42"/>
        <v/>
      </c>
      <c r="BU13" s="93" t="str">
        <f t="shared" si="25"/>
        <v/>
      </c>
      <c r="BV13" s="31" t="str">
        <f t="shared" si="43"/>
        <v/>
      </c>
      <c r="BW13" s="93" t="str">
        <f t="shared" si="26"/>
        <v/>
      </c>
      <c r="BX13" s="31" t="str">
        <f t="shared" si="44"/>
        <v/>
      </c>
      <c r="BY13" s="93" t="str">
        <f t="shared" si="27"/>
        <v/>
      </c>
      <c r="BZ13" s="31" t="str">
        <f t="shared" si="45"/>
        <v/>
      </c>
      <c r="CA13" s="93" t="str">
        <f t="shared" si="28"/>
        <v/>
      </c>
      <c r="CB13" s="31" t="str">
        <f t="shared" si="46"/>
        <v/>
      </c>
      <c r="CC13" s="93" t="str">
        <f t="shared" si="29"/>
        <v/>
      </c>
      <c r="CD13" s="31" t="str">
        <f t="shared" si="47"/>
        <v/>
      </c>
      <c r="CE13" s="93">
        <f t="shared" si="30"/>
        <v>10</v>
      </c>
      <c r="CF13" s="31">
        <f t="shared" si="48"/>
        <v>0.9479166667</v>
      </c>
      <c r="CG13" s="93">
        <f t="shared" si="31"/>
        <v>10</v>
      </c>
      <c r="CH13" s="31">
        <f t="shared" si="49"/>
        <v>0.9479166667</v>
      </c>
      <c r="CI13" s="93" t="str">
        <f t="shared" si="32"/>
        <v/>
      </c>
      <c r="CJ13" s="31" t="str">
        <f t="shared" si="50"/>
        <v/>
      </c>
      <c r="CK13" s="93" t="str">
        <f t="shared" si="33"/>
        <v/>
      </c>
      <c r="CL13" s="31" t="str">
        <f t="shared" si="51"/>
        <v/>
      </c>
      <c r="CM13" s="93" t="str">
        <f t="shared" si="34"/>
        <v/>
      </c>
      <c r="CN13" s="31" t="str">
        <f t="shared" si="52"/>
        <v/>
      </c>
      <c r="CO13" s="93" t="str">
        <f t="shared" si="35"/>
        <v/>
      </c>
      <c r="CP13" s="31" t="str">
        <f t="shared" si="53"/>
        <v/>
      </c>
      <c r="CQ13" s="79">
        <f t="shared" si="63"/>
        <v>6</v>
      </c>
      <c r="CR13" s="123">
        <f t="shared" si="67"/>
        <v>1.125</v>
      </c>
      <c r="CS13" s="79">
        <f t="shared" si="64"/>
        <v>6</v>
      </c>
      <c r="CT13" s="124">
        <f t="shared" si="68"/>
        <v>0.01736111111</v>
      </c>
      <c r="CU13" s="79" t="str">
        <f t="shared" si="65"/>
        <v/>
      </c>
      <c r="CV13" s="125" t="str">
        <f t="shared" si="69"/>
        <v/>
      </c>
      <c r="CW13" s="79" t="str">
        <f t="shared" si="66"/>
        <v/>
      </c>
      <c r="CX13" s="126" t="str">
        <f t="shared" si="70"/>
        <v/>
      </c>
      <c r="CY13" s="26"/>
      <c r="CZ13" s="26"/>
    </row>
    <row r="14">
      <c r="A14" s="26"/>
      <c r="B14" s="107"/>
      <c r="C14" s="108"/>
      <c r="D14" s="109" t="str">
        <f t="shared" si="55"/>
        <v/>
      </c>
      <c r="E14" s="107"/>
      <c r="F14" s="108"/>
      <c r="G14" s="109" t="str">
        <f t="shared" si="56"/>
        <v/>
      </c>
      <c r="H14" s="110"/>
      <c r="I14" s="108"/>
      <c r="J14" s="109" t="str">
        <f t="shared" si="57"/>
        <v/>
      </c>
      <c r="K14" s="107"/>
      <c r="L14" s="108"/>
      <c r="M14" s="109" t="str">
        <f t="shared" si="58"/>
        <v/>
      </c>
      <c r="N14" s="110"/>
      <c r="O14" s="108"/>
      <c r="P14" s="109" t="str">
        <f t="shared" si="59"/>
        <v/>
      </c>
      <c r="Q14" s="107"/>
      <c r="R14" s="108"/>
      <c r="S14" s="109" t="str">
        <f t="shared" si="60"/>
        <v/>
      </c>
      <c r="T14" s="110"/>
      <c r="U14" s="108"/>
      <c r="V14" s="109" t="str">
        <f t="shared" si="61"/>
        <v/>
      </c>
      <c r="W14" s="107"/>
      <c r="X14" s="108"/>
      <c r="Y14" s="109" t="str">
        <f t="shared" si="62"/>
        <v/>
      </c>
      <c r="Z14" s="90"/>
      <c r="AA14" s="90"/>
      <c r="AB14" s="41"/>
      <c r="AC14" s="41"/>
      <c r="AD14" s="41"/>
      <c r="AE14" s="41"/>
      <c r="AF14" s="41"/>
      <c r="AG14" s="26"/>
      <c r="AH14" s="26"/>
      <c r="AI14" s="26"/>
      <c r="AJ14" s="26"/>
      <c r="AK14" s="40"/>
      <c r="AL14" s="26"/>
      <c r="AM14" s="26"/>
      <c r="AN14" s="26"/>
      <c r="AO14" s="41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93">
        <f t="shared" si="13"/>
        <v>11</v>
      </c>
      <c r="BB14" s="31">
        <f t="shared" si="36"/>
        <v>0.9513888889</v>
      </c>
      <c r="BC14" s="94">
        <f t="shared" si="14"/>
        <v>11</v>
      </c>
      <c r="BD14" s="31">
        <f t="shared" si="37"/>
        <v>0.9513888889</v>
      </c>
      <c r="BE14" s="95">
        <f t="shared" si="15"/>
        <v>0.9513888889</v>
      </c>
      <c r="BF14" s="93" t="str">
        <f t="shared" si="16"/>
        <v/>
      </c>
      <c r="BG14" s="31" t="str">
        <f t="shared" si="54"/>
        <v/>
      </c>
      <c r="BH14" s="95" t="str">
        <f t="shared" si="17"/>
        <v/>
      </c>
      <c r="BI14" s="93" t="str">
        <f t="shared" si="18"/>
        <v/>
      </c>
      <c r="BJ14" s="31" t="str">
        <f t="shared" si="38"/>
        <v/>
      </c>
      <c r="BK14" s="95" t="str">
        <f t="shared" si="19"/>
        <v/>
      </c>
      <c r="BL14" s="93" t="str">
        <f t="shared" si="20"/>
        <v/>
      </c>
      <c r="BM14" s="31" t="str">
        <f t="shared" si="39"/>
        <v/>
      </c>
      <c r="BN14" s="95" t="str">
        <f t="shared" si="21"/>
        <v/>
      </c>
      <c r="BO14" s="93">
        <f t="shared" si="22"/>
        <v>11</v>
      </c>
      <c r="BP14" s="31">
        <f t="shared" si="40"/>
        <v>0.9513888889</v>
      </c>
      <c r="BQ14" s="93" t="str">
        <f t="shared" si="23"/>
        <v/>
      </c>
      <c r="BR14" s="31" t="str">
        <f t="shared" si="41"/>
        <v/>
      </c>
      <c r="BS14" s="93" t="str">
        <f t="shared" si="24"/>
        <v/>
      </c>
      <c r="BT14" s="31" t="str">
        <f t="shared" si="42"/>
        <v/>
      </c>
      <c r="BU14" s="93" t="str">
        <f t="shared" si="25"/>
        <v/>
      </c>
      <c r="BV14" s="31" t="str">
        <f t="shared" si="43"/>
        <v/>
      </c>
      <c r="BW14" s="93" t="str">
        <f t="shared" si="26"/>
        <v/>
      </c>
      <c r="BX14" s="31" t="str">
        <f t="shared" si="44"/>
        <v/>
      </c>
      <c r="BY14" s="93" t="str">
        <f t="shared" si="27"/>
        <v/>
      </c>
      <c r="BZ14" s="31" t="str">
        <f t="shared" si="45"/>
        <v/>
      </c>
      <c r="CA14" s="93" t="str">
        <f t="shared" si="28"/>
        <v/>
      </c>
      <c r="CB14" s="31" t="str">
        <f t="shared" si="46"/>
        <v/>
      </c>
      <c r="CC14" s="93" t="str">
        <f t="shared" si="29"/>
        <v/>
      </c>
      <c r="CD14" s="31" t="str">
        <f t="shared" si="47"/>
        <v/>
      </c>
      <c r="CE14" s="93">
        <f t="shared" si="30"/>
        <v>11</v>
      </c>
      <c r="CF14" s="31">
        <f t="shared" si="48"/>
        <v>0.9513888889</v>
      </c>
      <c r="CG14" s="93">
        <f t="shared" si="31"/>
        <v>11</v>
      </c>
      <c r="CH14" s="31">
        <f t="shared" si="49"/>
        <v>0.9513888889</v>
      </c>
      <c r="CI14" s="93" t="str">
        <f t="shared" si="32"/>
        <v/>
      </c>
      <c r="CJ14" s="31" t="str">
        <f t="shared" si="50"/>
        <v/>
      </c>
      <c r="CK14" s="93" t="str">
        <f t="shared" si="33"/>
        <v/>
      </c>
      <c r="CL14" s="31" t="str">
        <f t="shared" si="51"/>
        <v/>
      </c>
      <c r="CM14" s="93" t="str">
        <f t="shared" si="34"/>
        <v/>
      </c>
      <c r="CN14" s="31" t="str">
        <f t="shared" si="52"/>
        <v/>
      </c>
      <c r="CO14" s="93" t="str">
        <f t="shared" si="35"/>
        <v/>
      </c>
      <c r="CP14" s="31" t="str">
        <f t="shared" si="53"/>
        <v/>
      </c>
      <c r="CQ14" s="79">
        <f t="shared" si="63"/>
        <v>7</v>
      </c>
      <c r="CR14" s="123">
        <f t="shared" si="67"/>
        <v>1.166666667</v>
      </c>
      <c r="CS14" s="79">
        <f t="shared" si="64"/>
        <v>7</v>
      </c>
      <c r="CT14" s="124">
        <f t="shared" si="68"/>
        <v>0.02083333333</v>
      </c>
      <c r="CU14" s="79" t="str">
        <f t="shared" si="65"/>
        <v/>
      </c>
      <c r="CV14" s="125" t="str">
        <f t="shared" si="69"/>
        <v/>
      </c>
      <c r="CW14" s="79" t="str">
        <f t="shared" si="66"/>
        <v/>
      </c>
      <c r="CX14" s="126" t="str">
        <f t="shared" si="70"/>
        <v/>
      </c>
      <c r="CY14" s="26"/>
      <c r="CZ14" s="26"/>
    </row>
    <row r="15">
      <c r="A15" s="26"/>
      <c r="B15" s="107"/>
      <c r="C15" s="108"/>
      <c r="D15" s="109" t="str">
        <f t="shared" si="55"/>
        <v/>
      </c>
      <c r="E15" s="107"/>
      <c r="F15" s="108"/>
      <c r="G15" s="109" t="str">
        <f t="shared" si="56"/>
        <v/>
      </c>
      <c r="H15" s="110"/>
      <c r="I15" s="108"/>
      <c r="J15" s="109" t="str">
        <f t="shared" si="57"/>
        <v/>
      </c>
      <c r="K15" s="107"/>
      <c r="L15" s="108"/>
      <c r="M15" s="109" t="str">
        <f t="shared" si="58"/>
        <v/>
      </c>
      <c r="N15" s="110"/>
      <c r="O15" s="108"/>
      <c r="P15" s="109" t="str">
        <f t="shared" si="59"/>
        <v/>
      </c>
      <c r="Q15" s="107"/>
      <c r="R15" s="108"/>
      <c r="S15" s="109" t="str">
        <f t="shared" si="60"/>
        <v/>
      </c>
      <c r="T15" s="110"/>
      <c r="U15" s="108"/>
      <c r="V15" s="109" t="str">
        <f t="shared" si="61"/>
        <v/>
      </c>
      <c r="W15" s="107"/>
      <c r="X15" s="108"/>
      <c r="Y15" s="109" t="str">
        <f t="shared" si="62"/>
        <v/>
      </c>
      <c r="Z15" s="90"/>
      <c r="AA15" s="90"/>
      <c r="AB15" s="41"/>
      <c r="AC15" s="41"/>
      <c r="AD15" s="41"/>
      <c r="AE15" s="41"/>
      <c r="AF15" s="41"/>
      <c r="AG15" s="26"/>
      <c r="AH15" s="26"/>
      <c r="AI15" s="26"/>
      <c r="AJ15" s="26"/>
      <c r="AK15" s="40"/>
      <c r="AL15" s="26" t="s">
        <v>94</v>
      </c>
      <c r="AM15" s="127">
        <f>IF(MAX(L21:L30,C21:C30,C7:C16)=0,AM3,ROUNDDOWN(MAX(L21:L30,C21:C30,C7:C16)*24,0)/24)</f>
        <v>0.9166666667</v>
      </c>
      <c r="AN15" s="26"/>
      <c r="AO15" s="26"/>
      <c r="AP15" s="26"/>
      <c r="AQ15" s="130">
        <f>ROUNDDOWN(MAX(O21:P30)*24,0)/24</f>
        <v>0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93">
        <f t="shared" si="13"/>
        <v>12</v>
      </c>
      <c r="BB15" s="31">
        <f t="shared" si="36"/>
        <v>0.9548611111</v>
      </c>
      <c r="BC15" s="94">
        <f t="shared" si="14"/>
        <v>12</v>
      </c>
      <c r="BD15" s="31">
        <f t="shared" si="37"/>
        <v>0.9548611111</v>
      </c>
      <c r="BE15" s="95">
        <f t="shared" si="15"/>
        <v>0.9548611111</v>
      </c>
      <c r="BF15" s="93" t="str">
        <f t="shared" si="16"/>
        <v/>
      </c>
      <c r="BG15" s="31" t="str">
        <f t="shared" si="54"/>
        <v/>
      </c>
      <c r="BH15" s="95" t="str">
        <f t="shared" si="17"/>
        <v/>
      </c>
      <c r="BI15" s="93" t="str">
        <f t="shared" si="18"/>
        <v/>
      </c>
      <c r="BJ15" s="31" t="str">
        <f t="shared" si="38"/>
        <v/>
      </c>
      <c r="BK15" s="95" t="str">
        <f t="shared" si="19"/>
        <v/>
      </c>
      <c r="BL15" s="93" t="str">
        <f t="shared" si="20"/>
        <v/>
      </c>
      <c r="BM15" s="31" t="str">
        <f t="shared" si="39"/>
        <v/>
      </c>
      <c r="BN15" s="95" t="str">
        <f t="shared" si="21"/>
        <v/>
      </c>
      <c r="BO15" s="93">
        <f t="shared" si="22"/>
        <v>12</v>
      </c>
      <c r="BP15" s="31">
        <f t="shared" si="40"/>
        <v>0.9548611111</v>
      </c>
      <c r="BQ15" s="93" t="str">
        <f t="shared" si="23"/>
        <v/>
      </c>
      <c r="BR15" s="31" t="str">
        <f t="shared" si="41"/>
        <v/>
      </c>
      <c r="BS15" s="93" t="str">
        <f t="shared" si="24"/>
        <v/>
      </c>
      <c r="BT15" s="31" t="str">
        <f t="shared" si="42"/>
        <v/>
      </c>
      <c r="BU15" s="93" t="str">
        <f t="shared" si="25"/>
        <v/>
      </c>
      <c r="BV15" s="31" t="str">
        <f t="shared" si="43"/>
        <v/>
      </c>
      <c r="BW15" s="93" t="str">
        <f t="shared" si="26"/>
        <v/>
      </c>
      <c r="BX15" s="31" t="str">
        <f t="shared" si="44"/>
        <v/>
      </c>
      <c r="BY15" s="93" t="str">
        <f t="shared" si="27"/>
        <v/>
      </c>
      <c r="BZ15" s="31" t="str">
        <f t="shared" si="45"/>
        <v/>
      </c>
      <c r="CA15" s="93" t="str">
        <f t="shared" si="28"/>
        <v/>
      </c>
      <c r="CB15" s="31" t="str">
        <f t="shared" si="46"/>
        <v/>
      </c>
      <c r="CC15" s="93" t="str">
        <f t="shared" si="29"/>
        <v/>
      </c>
      <c r="CD15" s="31" t="str">
        <f t="shared" si="47"/>
        <v/>
      </c>
      <c r="CE15" s="93">
        <f t="shared" si="30"/>
        <v>12</v>
      </c>
      <c r="CF15" s="31">
        <f t="shared" si="48"/>
        <v>0.9548611111</v>
      </c>
      <c r="CG15" s="93">
        <f t="shared" si="31"/>
        <v>12</v>
      </c>
      <c r="CH15" s="31">
        <f t="shared" si="49"/>
        <v>0.9548611111</v>
      </c>
      <c r="CI15" s="93" t="str">
        <f t="shared" si="32"/>
        <v/>
      </c>
      <c r="CJ15" s="31" t="str">
        <f t="shared" si="50"/>
        <v/>
      </c>
      <c r="CK15" s="93" t="str">
        <f t="shared" si="33"/>
        <v/>
      </c>
      <c r="CL15" s="31" t="str">
        <f t="shared" si="51"/>
        <v/>
      </c>
      <c r="CM15" s="93" t="str">
        <f t="shared" si="34"/>
        <v/>
      </c>
      <c r="CN15" s="31" t="str">
        <f t="shared" si="52"/>
        <v/>
      </c>
      <c r="CO15" s="93" t="str">
        <f t="shared" si="35"/>
        <v/>
      </c>
      <c r="CP15" s="31" t="str">
        <f t="shared" si="53"/>
        <v/>
      </c>
      <c r="CQ15" s="79">
        <f t="shared" si="63"/>
        <v>8</v>
      </c>
      <c r="CR15" s="123">
        <f t="shared" si="67"/>
        <v>1.208333333</v>
      </c>
      <c r="CS15" s="79">
        <f t="shared" si="64"/>
        <v>8</v>
      </c>
      <c r="CT15" s="124">
        <f t="shared" si="68"/>
        <v>0.02430555556</v>
      </c>
      <c r="CU15" s="79" t="str">
        <f t="shared" si="65"/>
        <v/>
      </c>
      <c r="CV15" s="125" t="str">
        <f t="shared" si="69"/>
        <v/>
      </c>
      <c r="CW15" s="79" t="str">
        <f t="shared" si="66"/>
        <v/>
      </c>
      <c r="CX15" s="126" t="str">
        <f t="shared" si="70"/>
        <v/>
      </c>
      <c r="CY15" s="26"/>
      <c r="CZ15" s="26"/>
    </row>
    <row r="16">
      <c r="A16" s="26"/>
      <c r="B16" s="107"/>
      <c r="C16" s="108"/>
      <c r="D16" s="109" t="str">
        <f t="shared" si="55"/>
        <v/>
      </c>
      <c r="E16" s="107"/>
      <c r="F16" s="108"/>
      <c r="G16" s="109" t="str">
        <f t="shared" si="56"/>
        <v/>
      </c>
      <c r="H16" s="110"/>
      <c r="I16" s="108"/>
      <c r="J16" s="131" t="str">
        <f t="shared" si="57"/>
        <v/>
      </c>
      <c r="K16" s="107"/>
      <c r="L16" s="108"/>
      <c r="M16" s="109" t="str">
        <f t="shared" si="58"/>
        <v/>
      </c>
      <c r="N16" s="110"/>
      <c r="O16" s="108"/>
      <c r="P16" s="131" t="str">
        <f t="shared" si="59"/>
        <v/>
      </c>
      <c r="Q16" s="107"/>
      <c r="R16" s="108"/>
      <c r="S16" s="109" t="str">
        <f t="shared" si="60"/>
        <v/>
      </c>
      <c r="T16" s="110"/>
      <c r="U16" s="108"/>
      <c r="V16" s="131" t="str">
        <f t="shared" si="61"/>
        <v/>
      </c>
      <c r="W16" s="107"/>
      <c r="X16" s="108"/>
      <c r="Y16" s="109" t="str">
        <f t="shared" si="62"/>
        <v/>
      </c>
      <c r="Z16" s="90"/>
      <c r="AA16" s="90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 t="s">
        <v>95</v>
      </c>
      <c r="AM16" s="132">
        <f>IF(MAX(K21:K30,B21:B30,B7:B16)=0,AM3,ROUNDDOWN(MAX(K21:K30,B21:B30,B7:B16)*24,0)/24)</f>
        <v>0.9166666667</v>
      </c>
      <c r="AN16" s="26"/>
      <c r="AO16" s="26"/>
      <c r="AP16" s="26"/>
      <c r="AQ16" s="31">
        <f>IF(MAX(L21:L30,C21:C30,C7:C16)=0,AM3,ROUNDDOWN(MAX(L21:L30,C21:C30,C7:C16)*24,0)/24)-INT(MAX(L21:L30,C21:C30,C7:C16))</f>
        <v>0.9166666667</v>
      </c>
      <c r="AR16" s="26"/>
      <c r="AS16" s="26"/>
      <c r="AT16" s="26"/>
      <c r="AU16" s="26"/>
      <c r="AV16" s="26"/>
      <c r="AW16" s="26"/>
      <c r="AX16" s="26"/>
      <c r="AY16" s="26"/>
      <c r="AZ16" s="26"/>
      <c r="BA16" s="93">
        <f t="shared" si="13"/>
        <v>13</v>
      </c>
      <c r="BB16" s="31">
        <f t="shared" si="36"/>
        <v>0.9583333333</v>
      </c>
      <c r="BC16" s="94">
        <f t="shared" si="14"/>
        <v>13</v>
      </c>
      <c r="BD16" s="31">
        <f t="shared" si="37"/>
        <v>0.9583333333</v>
      </c>
      <c r="BE16" s="95">
        <f t="shared" si="15"/>
        <v>0.9583333333</v>
      </c>
      <c r="BF16" s="93" t="str">
        <f t="shared" si="16"/>
        <v/>
      </c>
      <c r="BG16" s="31" t="str">
        <f t="shared" si="54"/>
        <v/>
      </c>
      <c r="BH16" s="95" t="str">
        <f t="shared" si="17"/>
        <v/>
      </c>
      <c r="BI16" s="93" t="str">
        <f t="shared" si="18"/>
        <v/>
      </c>
      <c r="BJ16" s="31" t="str">
        <f t="shared" si="38"/>
        <v/>
      </c>
      <c r="BK16" s="95" t="str">
        <f t="shared" si="19"/>
        <v/>
      </c>
      <c r="BL16" s="93" t="str">
        <f t="shared" si="20"/>
        <v/>
      </c>
      <c r="BM16" s="31" t="str">
        <f t="shared" si="39"/>
        <v/>
      </c>
      <c r="BN16" s="95" t="str">
        <f t="shared" si="21"/>
        <v/>
      </c>
      <c r="BO16" s="93">
        <f t="shared" si="22"/>
        <v>13</v>
      </c>
      <c r="BP16" s="31">
        <f t="shared" si="40"/>
        <v>0.9583333333</v>
      </c>
      <c r="BQ16" s="93" t="str">
        <f t="shared" si="23"/>
        <v/>
      </c>
      <c r="BR16" s="31" t="str">
        <f t="shared" si="41"/>
        <v/>
      </c>
      <c r="BS16" s="93" t="str">
        <f t="shared" si="24"/>
        <v/>
      </c>
      <c r="BT16" s="31" t="str">
        <f t="shared" si="42"/>
        <v/>
      </c>
      <c r="BU16" s="93" t="str">
        <f t="shared" si="25"/>
        <v/>
      </c>
      <c r="BV16" s="31" t="str">
        <f t="shared" si="43"/>
        <v/>
      </c>
      <c r="BW16" s="93" t="str">
        <f t="shared" si="26"/>
        <v/>
      </c>
      <c r="BX16" s="31" t="str">
        <f t="shared" si="44"/>
        <v/>
      </c>
      <c r="BY16" s="93" t="str">
        <f t="shared" si="27"/>
        <v/>
      </c>
      <c r="BZ16" s="31" t="str">
        <f t="shared" si="45"/>
        <v/>
      </c>
      <c r="CA16" s="93" t="str">
        <f t="shared" si="28"/>
        <v/>
      </c>
      <c r="CB16" s="31" t="str">
        <f t="shared" si="46"/>
        <v/>
      </c>
      <c r="CC16" s="93" t="str">
        <f t="shared" si="29"/>
        <v/>
      </c>
      <c r="CD16" s="31" t="str">
        <f t="shared" si="47"/>
        <v/>
      </c>
      <c r="CE16" s="93">
        <f t="shared" si="30"/>
        <v>13</v>
      </c>
      <c r="CF16" s="31">
        <f t="shared" si="48"/>
        <v>0.9583333333</v>
      </c>
      <c r="CG16" s="93">
        <f t="shared" si="31"/>
        <v>13</v>
      </c>
      <c r="CH16" s="31">
        <f t="shared" si="49"/>
        <v>0.9583333333</v>
      </c>
      <c r="CI16" s="93" t="str">
        <f t="shared" si="32"/>
        <v/>
      </c>
      <c r="CJ16" s="31" t="str">
        <f t="shared" si="50"/>
        <v/>
      </c>
      <c r="CK16" s="93" t="str">
        <f t="shared" si="33"/>
        <v/>
      </c>
      <c r="CL16" s="31" t="str">
        <f t="shared" si="51"/>
        <v/>
      </c>
      <c r="CM16" s="93" t="str">
        <f t="shared" si="34"/>
        <v/>
      </c>
      <c r="CN16" s="31" t="str">
        <f t="shared" si="52"/>
        <v/>
      </c>
      <c r="CO16" s="93" t="str">
        <f t="shared" si="35"/>
        <v/>
      </c>
      <c r="CP16" s="31" t="str">
        <f t="shared" si="53"/>
        <v/>
      </c>
      <c r="CQ16" s="79">
        <f t="shared" si="63"/>
        <v>9</v>
      </c>
      <c r="CR16" s="133">
        <f t="shared" si="67"/>
        <v>1.25</v>
      </c>
      <c r="CS16" s="79">
        <f t="shared" si="64"/>
        <v>9</v>
      </c>
      <c r="CT16" s="124">
        <f t="shared" si="68"/>
        <v>0.02777777778</v>
      </c>
      <c r="CU16" s="79" t="str">
        <f t="shared" si="65"/>
        <v/>
      </c>
      <c r="CV16" s="125" t="str">
        <f t="shared" si="69"/>
        <v/>
      </c>
      <c r="CW16" s="79" t="str">
        <f t="shared" si="66"/>
        <v/>
      </c>
      <c r="CX16" s="126" t="str">
        <f t="shared" si="70"/>
        <v/>
      </c>
      <c r="CY16" s="26"/>
      <c r="CZ16" s="26"/>
    </row>
    <row r="17">
      <c r="A17" s="26"/>
      <c r="B17" s="134"/>
      <c r="C17" s="135"/>
      <c r="D17" s="136" t="str">
        <f t="shared" si="55"/>
        <v/>
      </c>
      <c r="E17" s="134"/>
      <c r="F17" s="135"/>
      <c r="G17" s="136" t="str">
        <f t="shared" si="56"/>
        <v/>
      </c>
      <c r="H17" s="137"/>
      <c r="I17" s="135"/>
      <c r="J17" s="136" t="str">
        <f t="shared" si="57"/>
        <v/>
      </c>
      <c r="K17" s="138"/>
      <c r="L17" s="139"/>
      <c r="M17" s="140" t="str">
        <f t="shared" si="58"/>
        <v/>
      </c>
      <c r="N17" s="137"/>
      <c r="O17" s="135"/>
      <c r="P17" s="136" t="str">
        <f t="shared" si="59"/>
        <v/>
      </c>
      <c r="Q17" s="134"/>
      <c r="R17" s="135"/>
      <c r="S17" s="136" t="str">
        <f t="shared" si="60"/>
        <v/>
      </c>
      <c r="T17" s="137"/>
      <c r="U17" s="135"/>
      <c r="V17" s="136" t="str">
        <f t="shared" si="61"/>
        <v/>
      </c>
      <c r="W17" s="134"/>
      <c r="X17" s="135"/>
      <c r="Y17" s="136" t="str">
        <f t="shared" si="62"/>
        <v/>
      </c>
      <c r="Z17" s="90"/>
      <c r="AA17" s="90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40"/>
      <c r="AN17" s="26"/>
      <c r="AO17" s="26"/>
      <c r="AP17" s="26"/>
      <c r="AQ17" s="141">
        <v>0.0</v>
      </c>
      <c r="AR17" s="26"/>
      <c r="AS17" s="26"/>
      <c r="AT17" s="26"/>
      <c r="AU17" s="26"/>
      <c r="AV17" s="26"/>
      <c r="AW17" s="26"/>
      <c r="AX17" s="26"/>
      <c r="AY17" s="26"/>
      <c r="AZ17" s="26"/>
      <c r="BA17" s="93">
        <f t="shared" si="13"/>
        <v>14</v>
      </c>
      <c r="BB17" s="31">
        <f t="shared" si="36"/>
        <v>0.9618055556</v>
      </c>
      <c r="BC17" s="94">
        <f t="shared" si="14"/>
        <v>14</v>
      </c>
      <c r="BD17" s="31">
        <f t="shared" si="37"/>
        <v>0.9618055556</v>
      </c>
      <c r="BE17" s="95">
        <f t="shared" si="15"/>
        <v>0.9618055556</v>
      </c>
      <c r="BF17" s="93" t="str">
        <f t="shared" si="16"/>
        <v/>
      </c>
      <c r="BG17" s="31" t="str">
        <f t="shared" si="54"/>
        <v/>
      </c>
      <c r="BH17" s="95" t="str">
        <f t="shared" si="17"/>
        <v/>
      </c>
      <c r="BI17" s="93" t="str">
        <f t="shared" si="18"/>
        <v/>
      </c>
      <c r="BJ17" s="31" t="str">
        <f t="shared" si="38"/>
        <v/>
      </c>
      <c r="BK17" s="95" t="str">
        <f t="shared" si="19"/>
        <v/>
      </c>
      <c r="BL17" s="93" t="str">
        <f t="shared" si="20"/>
        <v/>
      </c>
      <c r="BM17" s="31" t="str">
        <f t="shared" si="39"/>
        <v/>
      </c>
      <c r="BN17" s="95" t="str">
        <f t="shared" si="21"/>
        <v/>
      </c>
      <c r="BO17" s="93">
        <f t="shared" si="22"/>
        <v>14</v>
      </c>
      <c r="BP17" s="31">
        <f t="shared" si="40"/>
        <v>0.9618055556</v>
      </c>
      <c r="BQ17" s="93" t="str">
        <f t="shared" si="23"/>
        <v/>
      </c>
      <c r="BR17" s="31" t="str">
        <f t="shared" si="41"/>
        <v/>
      </c>
      <c r="BS17" s="93" t="str">
        <f t="shared" si="24"/>
        <v/>
      </c>
      <c r="BT17" s="31" t="str">
        <f t="shared" si="42"/>
        <v/>
      </c>
      <c r="BU17" s="93" t="str">
        <f t="shared" si="25"/>
        <v/>
      </c>
      <c r="BV17" s="31" t="str">
        <f t="shared" si="43"/>
        <v/>
      </c>
      <c r="BW17" s="93" t="str">
        <f t="shared" si="26"/>
        <v/>
      </c>
      <c r="BX17" s="31" t="str">
        <f t="shared" si="44"/>
        <v/>
      </c>
      <c r="BY17" s="93" t="str">
        <f t="shared" si="27"/>
        <v/>
      </c>
      <c r="BZ17" s="31" t="str">
        <f t="shared" si="45"/>
        <v/>
      </c>
      <c r="CA17" s="93" t="str">
        <f t="shared" si="28"/>
        <v/>
      </c>
      <c r="CB17" s="31" t="str">
        <f t="shared" si="46"/>
        <v/>
      </c>
      <c r="CC17" s="93" t="str">
        <f t="shared" si="29"/>
        <v/>
      </c>
      <c r="CD17" s="31" t="str">
        <f t="shared" si="47"/>
        <v/>
      </c>
      <c r="CE17" s="93">
        <f t="shared" si="30"/>
        <v>14</v>
      </c>
      <c r="CF17" s="31">
        <f t="shared" si="48"/>
        <v>0.9618055556</v>
      </c>
      <c r="CG17" s="93">
        <f t="shared" si="31"/>
        <v>14</v>
      </c>
      <c r="CH17" s="31">
        <f t="shared" si="49"/>
        <v>0.9618055556</v>
      </c>
      <c r="CI17" s="93" t="str">
        <f t="shared" si="32"/>
        <v/>
      </c>
      <c r="CJ17" s="31" t="str">
        <f t="shared" si="50"/>
        <v/>
      </c>
      <c r="CK17" s="93" t="str">
        <f t="shared" si="33"/>
        <v/>
      </c>
      <c r="CL17" s="31" t="str">
        <f t="shared" si="51"/>
        <v/>
      </c>
      <c r="CM17" s="93" t="str">
        <f t="shared" si="34"/>
        <v/>
      </c>
      <c r="CN17" s="31" t="str">
        <f t="shared" si="52"/>
        <v/>
      </c>
      <c r="CO17" s="93" t="str">
        <f t="shared" si="35"/>
        <v/>
      </c>
      <c r="CP17" s="31" t="str">
        <f t="shared" si="53"/>
        <v/>
      </c>
      <c r="CQ17" s="83"/>
      <c r="CR17" s="32"/>
      <c r="CS17" s="79">
        <f t="shared" si="64"/>
        <v>10</v>
      </c>
      <c r="CT17" s="124">
        <f t="shared" si="68"/>
        <v>0.03125</v>
      </c>
      <c r="CU17" s="41"/>
      <c r="CV17" s="32"/>
      <c r="CW17" s="79" t="str">
        <f t="shared" si="66"/>
        <v/>
      </c>
      <c r="CX17" s="126" t="str">
        <f t="shared" si="70"/>
        <v/>
      </c>
      <c r="CY17" s="26"/>
      <c r="CZ17" s="26"/>
    </row>
    <row r="18">
      <c r="A18" s="26"/>
      <c r="B18" s="142"/>
      <c r="C18" s="143"/>
      <c r="D18" s="144">
        <f>SUM(D7:D16)</f>
        <v>0</v>
      </c>
      <c r="E18" s="142"/>
      <c r="F18" s="143"/>
      <c r="G18" s="144">
        <f>SUM(G7:G16)</f>
        <v>0</v>
      </c>
      <c r="H18" s="145"/>
      <c r="I18" s="143"/>
      <c r="J18" s="146">
        <f>SUM(J7:J16)</f>
        <v>0</v>
      </c>
      <c r="K18" s="147"/>
      <c r="L18" s="148"/>
      <c r="M18" s="149">
        <f>SUM(M7:M16)</f>
        <v>0</v>
      </c>
      <c r="N18" s="142"/>
      <c r="O18" s="143"/>
      <c r="P18" s="144">
        <f>SUM(P7:P16)</f>
        <v>0</v>
      </c>
      <c r="Q18" s="142"/>
      <c r="R18" s="143"/>
      <c r="S18" s="146">
        <f>SUM(S7:S16)</f>
        <v>0</v>
      </c>
      <c r="T18" s="150"/>
      <c r="U18" s="151"/>
      <c r="V18" s="146">
        <f>SUM(V7:V16)</f>
        <v>0</v>
      </c>
      <c r="W18" s="152"/>
      <c r="X18" s="151"/>
      <c r="Y18" s="146">
        <f>SUM(Y7:Y16)</f>
        <v>0</v>
      </c>
      <c r="Z18" s="90"/>
      <c r="AA18" s="90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93">
        <f t="shared" si="13"/>
        <v>15</v>
      </c>
      <c r="BB18" s="31">
        <f t="shared" si="36"/>
        <v>0.9652777778</v>
      </c>
      <c r="BC18" s="94">
        <f t="shared" si="14"/>
        <v>15</v>
      </c>
      <c r="BD18" s="31">
        <f t="shared" si="37"/>
        <v>0.9652777778</v>
      </c>
      <c r="BE18" s="95">
        <f t="shared" si="15"/>
        <v>0.9652777778</v>
      </c>
      <c r="BF18" s="93" t="str">
        <f t="shared" si="16"/>
        <v/>
      </c>
      <c r="BG18" s="31" t="str">
        <f t="shared" si="54"/>
        <v/>
      </c>
      <c r="BH18" s="95" t="str">
        <f t="shared" si="17"/>
        <v/>
      </c>
      <c r="BI18" s="93" t="str">
        <f t="shared" si="18"/>
        <v/>
      </c>
      <c r="BJ18" s="31" t="str">
        <f t="shared" si="38"/>
        <v/>
      </c>
      <c r="BK18" s="95" t="str">
        <f t="shared" si="19"/>
        <v/>
      </c>
      <c r="BL18" s="93" t="str">
        <f t="shared" si="20"/>
        <v/>
      </c>
      <c r="BM18" s="31" t="str">
        <f t="shared" si="39"/>
        <v/>
      </c>
      <c r="BN18" s="95" t="str">
        <f t="shared" si="21"/>
        <v/>
      </c>
      <c r="BO18" s="93">
        <f t="shared" si="22"/>
        <v>15</v>
      </c>
      <c r="BP18" s="31">
        <f t="shared" si="40"/>
        <v>0.9652777778</v>
      </c>
      <c r="BQ18" s="93" t="str">
        <f t="shared" si="23"/>
        <v/>
      </c>
      <c r="BR18" s="31" t="str">
        <f t="shared" si="41"/>
        <v/>
      </c>
      <c r="BS18" s="93" t="str">
        <f t="shared" si="24"/>
        <v/>
      </c>
      <c r="BT18" s="31" t="str">
        <f t="shared" si="42"/>
        <v/>
      </c>
      <c r="BU18" s="93" t="str">
        <f t="shared" si="25"/>
        <v/>
      </c>
      <c r="BV18" s="31" t="str">
        <f t="shared" si="43"/>
        <v/>
      </c>
      <c r="BW18" s="93" t="str">
        <f t="shared" si="26"/>
        <v/>
      </c>
      <c r="BX18" s="31" t="str">
        <f t="shared" si="44"/>
        <v/>
      </c>
      <c r="BY18" s="93" t="str">
        <f t="shared" si="27"/>
        <v/>
      </c>
      <c r="BZ18" s="31" t="str">
        <f t="shared" si="45"/>
        <v/>
      </c>
      <c r="CA18" s="93" t="str">
        <f t="shared" si="28"/>
        <v/>
      </c>
      <c r="CB18" s="31" t="str">
        <f t="shared" si="46"/>
        <v/>
      </c>
      <c r="CC18" s="93" t="str">
        <f t="shared" si="29"/>
        <v/>
      </c>
      <c r="CD18" s="31" t="str">
        <f t="shared" si="47"/>
        <v/>
      </c>
      <c r="CE18" s="93">
        <f t="shared" si="30"/>
        <v>15</v>
      </c>
      <c r="CF18" s="31">
        <f t="shared" si="48"/>
        <v>0.9652777778</v>
      </c>
      <c r="CG18" s="93">
        <f t="shared" si="31"/>
        <v>15</v>
      </c>
      <c r="CH18" s="31">
        <f t="shared" si="49"/>
        <v>0.9652777778</v>
      </c>
      <c r="CI18" s="93" t="str">
        <f t="shared" si="32"/>
        <v/>
      </c>
      <c r="CJ18" s="31" t="str">
        <f t="shared" si="50"/>
        <v/>
      </c>
      <c r="CK18" s="93" t="str">
        <f t="shared" si="33"/>
        <v/>
      </c>
      <c r="CL18" s="31" t="str">
        <f t="shared" si="51"/>
        <v/>
      </c>
      <c r="CM18" s="93" t="str">
        <f t="shared" si="34"/>
        <v/>
      </c>
      <c r="CN18" s="31" t="str">
        <f t="shared" si="52"/>
        <v/>
      </c>
      <c r="CO18" s="93" t="str">
        <f t="shared" si="35"/>
        <v/>
      </c>
      <c r="CP18" s="31" t="str">
        <f t="shared" si="53"/>
        <v/>
      </c>
      <c r="CQ18" s="83"/>
      <c r="CR18" s="32"/>
      <c r="CS18" s="79">
        <f t="shared" si="64"/>
        <v>11</v>
      </c>
      <c r="CT18" s="124">
        <f t="shared" si="68"/>
        <v>0.03472222222</v>
      </c>
      <c r="CU18" s="41"/>
      <c r="CV18" s="32"/>
      <c r="CW18" s="79" t="str">
        <f t="shared" si="66"/>
        <v/>
      </c>
      <c r="CX18" s="126" t="str">
        <f t="shared" si="70"/>
        <v/>
      </c>
      <c r="CY18" s="26"/>
      <c r="CZ18" s="26"/>
    </row>
    <row r="19">
      <c r="A19" s="26"/>
      <c r="B19" s="153" t="s">
        <v>96</v>
      </c>
      <c r="C19" s="154" t="s">
        <v>97</v>
      </c>
      <c r="D19" s="155"/>
      <c r="E19" s="155"/>
      <c r="F19" s="155"/>
      <c r="G19" s="155"/>
      <c r="H19" s="155"/>
      <c r="I19" s="156"/>
      <c r="J19" s="157"/>
      <c r="K19" s="67" t="s">
        <v>98</v>
      </c>
      <c r="L19" s="158" t="s">
        <v>99</v>
      </c>
      <c r="M19" s="159"/>
      <c r="N19" s="159"/>
      <c r="O19" s="159"/>
      <c r="P19" s="159"/>
      <c r="Q19" s="159"/>
      <c r="R19" s="160"/>
      <c r="T19" s="161"/>
      <c r="U19" s="161"/>
      <c r="V19" s="26"/>
      <c r="W19" s="161"/>
      <c r="X19" s="161"/>
      <c r="Y19" s="77"/>
      <c r="Z19" s="90"/>
      <c r="AA19" s="90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93">
        <f t="shared" si="13"/>
        <v>16</v>
      </c>
      <c r="BB19" s="31">
        <f t="shared" si="36"/>
        <v>0.96875</v>
      </c>
      <c r="BC19" s="94">
        <f t="shared" si="14"/>
        <v>16</v>
      </c>
      <c r="BD19" s="31">
        <f t="shared" si="37"/>
        <v>0.96875</v>
      </c>
      <c r="BE19" s="95">
        <f t="shared" si="15"/>
        <v>0.96875</v>
      </c>
      <c r="BF19" s="93" t="str">
        <f t="shared" si="16"/>
        <v/>
      </c>
      <c r="BG19" s="31" t="str">
        <f t="shared" si="54"/>
        <v/>
      </c>
      <c r="BH19" s="95" t="str">
        <f t="shared" si="17"/>
        <v/>
      </c>
      <c r="BI19" s="93" t="str">
        <f t="shared" si="18"/>
        <v/>
      </c>
      <c r="BJ19" s="31" t="str">
        <f t="shared" si="38"/>
        <v/>
      </c>
      <c r="BK19" s="95" t="str">
        <f t="shared" si="19"/>
        <v/>
      </c>
      <c r="BL19" s="93" t="str">
        <f t="shared" si="20"/>
        <v/>
      </c>
      <c r="BM19" s="31" t="str">
        <f t="shared" si="39"/>
        <v/>
      </c>
      <c r="BN19" s="95" t="str">
        <f t="shared" si="21"/>
        <v/>
      </c>
      <c r="BO19" s="93">
        <f t="shared" si="22"/>
        <v>16</v>
      </c>
      <c r="BP19" s="31">
        <f t="shared" si="40"/>
        <v>0.96875</v>
      </c>
      <c r="BQ19" s="93" t="str">
        <f t="shared" si="23"/>
        <v/>
      </c>
      <c r="BR19" s="31" t="str">
        <f t="shared" si="41"/>
        <v/>
      </c>
      <c r="BS19" s="93" t="str">
        <f t="shared" si="24"/>
        <v/>
      </c>
      <c r="BT19" s="31" t="str">
        <f t="shared" si="42"/>
        <v/>
      </c>
      <c r="BU19" s="93" t="str">
        <f t="shared" si="25"/>
        <v/>
      </c>
      <c r="BV19" s="31" t="str">
        <f t="shared" si="43"/>
        <v/>
      </c>
      <c r="BW19" s="93" t="str">
        <f t="shared" si="26"/>
        <v/>
      </c>
      <c r="BX19" s="31" t="str">
        <f t="shared" si="44"/>
        <v/>
      </c>
      <c r="BY19" s="93" t="str">
        <f t="shared" si="27"/>
        <v/>
      </c>
      <c r="BZ19" s="31" t="str">
        <f t="shared" si="45"/>
        <v/>
      </c>
      <c r="CA19" s="93" t="str">
        <f t="shared" si="28"/>
        <v/>
      </c>
      <c r="CB19" s="31" t="str">
        <f t="shared" si="46"/>
        <v/>
      </c>
      <c r="CC19" s="93" t="str">
        <f t="shared" si="29"/>
        <v/>
      </c>
      <c r="CD19" s="31" t="str">
        <f t="shared" si="47"/>
        <v/>
      </c>
      <c r="CE19" s="93">
        <f t="shared" si="30"/>
        <v>16</v>
      </c>
      <c r="CF19" s="31">
        <f t="shared" si="48"/>
        <v>0.96875</v>
      </c>
      <c r="CG19" s="93">
        <f t="shared" si="31"/>
        <v>16</v>
      </c>
      <c r="CH19" s="31">
        <f t="shared" si="49"/>
        <v>0.96875</v>
      </c>
      <c r="CI19" s="93" t="str">
        <f t="shared" si="32"/>
        <v/>
      </c>
      <c r="CJ19" s="31" t="str">
        <f t="shared" si="50"/>
        <v/>
      </c>
      <c r="CK19" s="93" t="str">
        <f t="shared" si="33"/>
        <v/>
      </c>
      <c r="CL19" s="31" t="str">
        <f t="shared" si="51"/>
        <v/>
      </c>
      <c r="CM19" s="93" t="str">
        <f t="shared" si="34"/>
        <v/>
      </c>
      <c r="CN19" s="31" t="str">
        <f t="shared" si="52"/>
        <v/>
      </c>
      <c r="CO19" s="93" t="str">
        <f t="shared" si="35"/>
        <v/>
      </c>
      <c r="CP19" s="31" t="str">
        <f t="shared" si="53"/>
        <v/>
      </c>
      <c r="CQ19" s="83"/>
      <c r="CR19" s="32"/>
      <c r="CS19" s="79">
        <f t="shared" si="64"/>
        <v>12</v>
      </c>
      <c r="CT19" s="162">
        <f t="shared" si="68"/>
        <v>0.03819444444</v>
      </c>
      <c r="CU19" s="41"/>
      <c r="CV19" s="32"/>
      <c r="CW19" s="79" t="str">
        <f t="shared" si="66"/>
        <v/>
      </c>
      <c r="CX19" s="163" t="str">
        <f t="shared" si="70"/>
        <v/>
      </c>
      <c r="CY19" s="26"/>
      <c r="CZ19" s="26"/>
    </row>
    <row r="20">
      <c r="A20" s="26"/>
      <c r="B20" s="164" t="s">
        <v>21</v>
      </c>
      <c r="C20" s="165" t="s">
        <v>79</v>
      </c>
      <c r="D20" s="166" t="s">
        <v>55</v>
      </c>
      <c r="E20" s="167"/>
      <c r="F20" s="24"/>
      <c r="G20" s="24"/>
      <c r="H20" s="24"/>
      <c r="I20" s="25"/>
      <c r="J20" s="26"/>
      <c r="K20" s="168" t="s">
        <v>21</v>
      </c>
      <c r="L20" s="169" t="s">
        <v>79</v>
      </c>
      <c r="M20" s="170" t="s">
        <v>55</v>
      </c>
      <c r="N20" s="171"/>
      <c r="O20" s="3"/>
      <c r="P20" s="3"/>
      <c r="Q20" s="3"/>
      <c r="R20" s="4"/>
      <c r="T20" s="26"/>
      <c r="U20" s="26"/>
      <c r="V20" s="26"/>
      <c r="W20" s="26"/>
      <c r="X20" s="26"/>
      <c r="Y20" s="77"/>
      <c r="Z20" s="90"/>
      <c r="AA20" s="90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93">
        <f t="shared" si="13"/>
        <v>17</v>
      </c>
      <c r="BB20" s="31">
        <f t="shared" si="36"/>
        <v>0.9722222222</v>
      </c>
      <c r="BC20" s="94">
        <f t="shared" si="14"/>
        <v>17</v>
      </c>
      <c r="BD20" s="31">
        <f t="shared" si="37"/>
        <v>0.9722222222</v>
      </c>
      <c r="BE20" s="95">
        <f t="shared" si="15"/>
        <v>0.9722222222</v>
      </c>
      <c r="BF20" s="93" t="str">
        <f t="shared" si="16"/>
        <v/>
      </c>
      <c r="BG20" s="31" t="str">
        <f t="shared" si="54"/>
        <v/>
      </c>
      <c r="BH20" s="95" t="str">
        <f t="shared" si="17"/>
        <v/>
      </c>
      <c r="BI20" s="93" t="str">
        <f t="shared" si="18"/>
        <v/>
      </c>
      <c r="BJ20" s="31" t="str">
        <f t="shared" si="38"/>
        <v/>
      </c>
      <c r="BK20" s="95" t="str">
        <f t="shared" si="19"/>
        <v/>
      </c>
      <c r="BL20" s="93" t="str">
        <f t="shared" si="20"/>
        <v/>
      </c>
      <c r="BM20" s="31" t="str">
        <f t="shared" si="39"/>
        <v/>
      </c>
      <c r="BN20" s="95" t="str">
        <f t="shared" si="21"/>
        <v/>
      </c>
      <c r="BO20" s="93">
        <f t="shared" si="22"/>
        <v>17</v>
      </c>
      <c r="BP20" s="31">
        <f t="shared" si="40"/>
        <v>0.9722222222</v>
      </c>
      <c r="BQ20" s="93" t="str">
        <f t="shared" si="23"/>
        <v/>
      </c>
      <c r="BR20" s="31" t="str">
        <f t="shared" si="41"/>
        <v/>
      </c>
      <c r="BS20" s="93" t="str">
        <f t="shared" si="24"/>
        <v/>
      </c>
      <c r="BT20" s="31" t="str">
        <f t="shared" si="42"/>
        <v/>
      </c>
      <c r="BU20" s="93" t="str">
        <f t="shared" si="25"/>
        <v/>
      </c>
      <c r="BV20" s="31" t="str">
        <f t="shared" si="43"/>
        <v/>
      </c>
      <c r="BW20" s="93" t="str">
        <f t="shared" si="26"/>
        <v/>
      </c>
      <c r="BX20" s="31" t="str">
        <f t="shared" si="44"/>
        <v/>
      </c>
      <c r="BY20" s="93" t="str">
        <f t="shared" si="27"/>
        <v/>
      </c>
      <c r="BZ20" s="31" t="str">
        <f t="shared" si="45"/>
        <v/>
      </c>
      <c r="CA20" s="93" t="str">
        <f t="shared" si="28"/>
        <v/>
      </c>
      <c r="CB20" s="31" t="str">
        <f t="shared" si="46"/>
        <v/>
      </c>
      <c r="CC20" s="93" t="str">
        <f t="shared" si="29"/>
        <v/>
      </c>
      <c r="CD20" s="31" t="str">
        <f t="shared" si="47"/>
        <v/>
      </c>
      <c r="CE20" s="93">
        <f t="shared" si="30"/>
        <v>17</v>
      </c>
      <c r="CF20" s="31">
        <f t="shared" si="48"/>
        <v>0.9722222222</v>
      </c>
      <c r="CG20" s="93">
        <f t="shared" si="31"/>
        <v>17</v>
      </c>
      <c r="CH20" s="31">
        <f t="shared" si="49"/>
        <v>0.9722222222</v>
      </c>
      <c r="CI20" s="93" t="str">
        <f t="shared" si="32"/>
        <v/>
      </c>
      <c r="CJ20" s="31" t="str">
        <f t="shared" si="50"/>
        <v/>
      </c>
      <c r="CK20" s="93" t="str">
        <f t="shared" si="33"/>
        <v/>
      </c>
      <c r="CL20" s="31" t="str">
        <f t="shared" si="51"/>
        <v/>
      </c>
      <c r="CM20" s="93" t="str">
        <f t="shared" si="34"/>
        <v/>
      </c>
      <c r="CN20" s="31" t="str">
        <f t="shared" si="52"/>
        <v/>
      </c>
      <c r="CO20" s="93" t="str">
        <f t="shared" si="35"/>
        <v/>
      </c>
      <c r="CP20" s="31" t="str">
        <f t="shared" si="53"/>
        <v/>
      </c>
      <c r="CQ20" s="172"/>
      <c r="CR20" s="173"/>
      <c r="CS20" s="174"/>
      <c r="CT20" s="174"/>
      <c r="CU20" s="174"/>
      <c r="CV20" s="173"/>
      <c r="CW20" s="174"/>
      <c r="CX20" s="175"/>
      <c r="CY20" s="26"/>
      <c r="CZ20" s="26"/>
    </row>
    <row r="21" ht="15.75" customHeight="1">
      <c r="A21" s="26"/>
      <c r="B21" s="176"/>
      <c r="C21" s="177"/>
      <c r="D21" s="178" t="str">
        <f t="shared" ref="D21:D31" si="71">IF(C21="","",C21-B21+24)</f>
        <v/>
      </c>
      <c r="E21" s="179"/>
      <c r="F21" s="180"/>
      <c r="G21" s="180"/>
      <c r="H21" s="180"/>
      <c r="I21" s="16"/>
      <c r="J21" s="157"/>
      <c r="K21" s="181"/>
      <c r="L21" s="182"/>
      <c r="M21" s="183" t="str">
        <f t="shared" ref="M21:M31" si="72">IF(L21="","",L21-K21+24)</f>
        <v/>
      </c>
      <c r="N21" s="184"/>
      <c r="O21" s="185"/>
      <c r="P21" s="185"/>
      <c r="Q21" s="185"/>
      <c r="R21" s="186"/>
      <c r="T21" s="26"/>
      <c r="U21" s="26"/>
      <c r="V21" s="26"/>
      <c r="W21" s="26"/>
      <c r="X21" s="26"/>
      <c r="Y21" s="34"/>
      <c r="Z21" s="90"/>
      <c r="AA21" s="90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93">
        <f t="shared" si="13"/>
        <v>18</v>
      </c>
      <c r="BB21" s="31">
        <f t="shared" si="36"/>
        <v>0.9756944444</v>
      </c>
      <c r="BC21" s="94">
        <f t="shared" si="14"/>
        <v>18</v>
      </c>
      <c r="BD21" s="31">
        <f t="shared" si="37"/>
        <v>0.9756944444</v>
      </c>
      <c r="BE21" s="95">
        <f t="shared" si="15"/>
        <v>0.9756944444</v>
      </c>
      <c r="BF21" s="93" t="str">
        <f t="shared" si="16"/>
        <v/>
      </c>
      <c r="BG21" s="31" t="str">
        <f t="shared" si="54"/>
        <v/>
      </c>
      <c r="BH21" s="95" t="str">
        <f t="shared" si="17"/>
        <v/>
      </c>
      <c r="BI21" s="93" t="str">
        <f t="shared" si="18"/>
        <v/>
      </c>
      <c r="BJ21" s="31" t="str">
        <f t="shared" si="38"/>
        <v/>
      </c>
      <c r="BK21" s="95" t="str">
        <f t="shared" si="19"/>
        <v/>
      </c>
      <c r="BL21" s="93" t="str">
        <f t="shared" si="20"/>
        <v/>
      </c>
      <c r="BM21" s="31" t="str">
        <f t="shared" si="39"/>
        <v/>
      </c>
      <c r="BN21" s="95" t="str">
        <f t="shared" si="21"/>
        <v/>
      </c>
      <c r="BO21" s="93">
        <f t="shared" si="22"/>
        <v>18</v>
      </c>
      <c r="BP21" s="31">
        <f t="shared" si="40"/>
        <v>0.9756944444</v>
      </c>
      <c r="BQ21" s="93" t="str">
        <f t="shared" si="23"/>
        <v/>
      </c>
      <c r="BR21" s="31" t="str">
        <f t="shared" si="41"/>
        <v/>
      </c>
      <c r="BS21" s="93" t="str">
        <f t="shared" si="24"/>
        <v/>
      </c>
      <c r="BT21" s="31" t="str">
        <f t="shared" si="42"/>
        <v/>
      </c>
      <c r="BU21" s="93" t="str">
        <f t="shared" si="25"/>
        <v/>
      </c>
      <c r="BV21" s="31" t="str">
        <f t="shared" si="43"/>
        <v/>
      </c>
      <c r="BW21" s="93" t="str">
        <f t="shared" si="26"/>
        <v/>
      </c>
      <c r="BX21" s="31" t="str">
        <f t="shared" si="44"/>
        <v/>
      </c>
      <c r="BY21" s="93" t="str">
        <f t="shared" si="27"/>
        <v/>
      </c>
      <c r="BZ21" s="31" t="str">
        <f t="shared" si="45"/>
        <v/>
      </c>
      <c r="CA21" s="93" t="str">
        <f t="shared" si="28"/>
        <v/>
      </c>
      <c r="CB21" s="31" t="str">
        <f t="shared" si="46"/>
        <v/>
      </c>
      <c r="CC21" s="93" t="str">
        <f t="shared" si="29"/>
        <v/>
      </c>
      <c r="CD21" s="31" t="str">
        <f t="shared" si="47"/>
        <v/>
      </c>
      <c r="CE21" s="93">
        <f t="shared" si="30"/>
        <v>18</v>
      </c>
      <c r="CF21" s="31">
        <f t="shared" si="48"/>
        <v>0.9756944444</v>
      </c>
      <c r="CG21" s="93">
        <f t="shared" si="31"/>
        <v>18</v>
      </c>
      <c r="CH21" s="31">
        <f t="shared" si="49"/>
        <v>0.9756944444</v>
      </c>
      <c r="CI21" s="93" t="str">
        <f t="shared" si="32"/>
        <v/>
      </c>
      <c r="CJ21" s="31" t="str">
        <f t="shared" si="50"/>
        <v/>
      </c>
      <c r="CK21" s="93" t="str">
        <f t="shared" si="33"/>
        <v/>
      </c>
      <c r="CL21" s="31" t="str">
        <f t="shared" si="51"/>
        <v/>
      </c>
      <c r="CM21" s="93" t="str">
        <f t="shared" si="34"/>
        <v/>
      </c>
      <c r="CN21" s="31" t="str">
        <f t="shared" si="52"/>
        <v/>
      </c>
      <c r="CO21" s="93" t="str">
        <f t="shared" si="35"/>
        <v/>
      </c>
      <c r="CP21" s="31" t="str">
        <f t="shared" si="53"/>
        <v/>
      </c>
      <c r="CQ21" s="26"/>
      <c r="CR21" s="32"/>
      <c r="CS21" s="26"/>
      <c r="CT21" s="26"/>
      <c r="CU21" s="26"/>
      <c r="CV21" s="32"/>
      <c r="CW21" s="26"/>
      <c r="CX21" s="26"/>
      <c r="CY21" s="26"/>
      <c r="CZ21" s="26"/>
    </row>
    <row r="22" ht="15.75" customHeight="1">
      <c r="A22" s="26"/>
      <c r="B22" s="187"/>
      <c r="C22" s="188"/>
      <c r="D22" s="189" t="str">
        <f t="shared" si="71"/>
        <v/>
      </c>
      <c r="E22" s="179"/>
      <c r="F22" s="180"/>
      <c r="G22" s="180"/>
      <c r="H22" s="180"/>
      <c r="I22" s="16"/>
      <c r="J22" s="157"/>
      <c r="K22" s="190"/>
      <c r="L22" s="191"/>
      <c r="M22" s="183" t="str">
        <f t="shared" si="72"/>
        <v/>
      </c>
      <c r="N22" s="192"/>
      <c r="O22" s="180"/>
      <c r="P22" s="180"/>
      <c r="Q22" s="180"/>
      <c r="R22" s="16"/>
      <c r="T22" s="26"/>
      <c r="U22" s="26"/>
      <c r="V22" s="26"/>
      <c r="W22" s="26"/>
      <c r="X22" s="26"/>
      <c r="Y22" s="77"/>
      <c r="Z22" s="90"/>
      <c r="AA22" s="90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93">
        <f t="shared" si="13"/>
        <v>19</v>
      </c>
      <c r="BB22" s="31">
        <f t="shared" si="36"/>
        <v>0.9791666667</v>
      </c>
      <c r="BC22" s="94">
        <f t="shared" si="14"/>
        <v>19</v>
      </c>
      <c r="BD22" s="31">
        <f t="shared" si="37"/>
        <v>0.9791666667</v>
      </c>
      <c r="BE22" s="95">
        <f t="shared" si="15"/>
        <v>0.9791666667</v>
      </c>
      <c r="BF22" s="93" t="str">
        <f t="shared" si="16"/>
        <v/>
      </c>
      <c r="BG22" s="31" t="str">
        <f t="shared" si="54"/>
        <v/>
      </c>
      <c r="BH22" s="95" t="str">
        <f t="shared" si="17"/>
        <v/>
      </c>
      <c r="BI22" s="93" t="str">
        <f t="shared" si="18"/>
        <v/>
      </c>
      <c r="BJ22" s="31" t="str">
        <f t="shared" si="38"/>
        <v/>
      </c>
      <c r="BK22" s="95" t="str">
        <f t="shared" si="19"/>
        <v/>
      </c>
      <c r="BL22" s="93" t="str">
        <f t="shared" si="20"/>
        <v/>
      </c>
      <c r="BM22" s="31" t="str">
        <f t="shared" si="39"/>
        <v/>
      </c>
      <c r="BN22" s="95" t="str">
        <f t="shared" si="21"/>
        <v/>
      </c>
      <c r="BO22" s="93">
        <f t="shared" si="22"/>
        <v>19</v>
      </c>
      <c r="BP22" s="31">
        <f t="shared" si="40"/>
        <v>0.9791666667</v>
      </c>
      <c r="BQ22" s="93" t="str">
        <f t="shared" si="23"/>
        <v/>
      </c>
      <c r="BR22" s="31" t="str">
        <f t="shared" si="41"/>
        <v/>
      </c>
      <c r="BS22" s="93" t="str">
        <f t="shared" si="24"/>
        <v/>
      </c>
      <c r="BT22" s="31" t="str">
        <f t="shared" si="42"/>
        <v/>
      </c>
      <c r="BU22" s="93" t="str">
        <f t="shared" si="25"/>
        <v/>
      </c>
      <c r="BV22" s="31" t="str">
        <f t="shared" si="43"/>
        <v/>
      </c>
      <c r="BW22" s="93" t="str">
        <f t="shared" si="26"/>
        <v/>
      </c>
      <c r="BX22" s="31" t="str">
        <f t="shared" si="44"/>
        <v/>
      </c>
      <c r="BY22" s="93" t="str">
        <f t="shared" si="27"/>
        <v/>
      </c>
      <c r="BZ22" s="31" t="str">
        <f t="shared" si="45"/>
        <v/>
      </c>
      <c r="CA22" s="93" t="str">
        <f t="shared" si="28"/>
        <v/>
      </c>
      <c r="CB22" s="31" t="str">
        <f t="shared" si="46"/>
        <v/>
      </c>
      <c r="CC22" s="93" t="str">
        <f t="shared" si="29"/>
        <v/>
      </c>
      <c r="CD22" s="31" t="str">
        <f t="shared" si="47"/>
        <v/>
      </c>
      <c r="CE22" s="93">
        <f t="shared" si="30"/>
        <v>19</v>
      </c>
      <c r="CF22" s="31">
        <f t="shared" si="48"/>
        <v>0.9791666667</v>
      </c>
      <c r="CG22" s="93">
        <f t="shared" si="31"/>
        <v>19</v>
      </c>
      <c r="CH22" s="31">
        <f t="shared" si="49"/>
        <v>0.9791666667</v>
      </c>
      <c r="CI22" s="93" t="str">
        <f t="shared" si="32"/>
        <v/>
      </c>
      <c r="CJ22" s="31" t="str">
        <f t="shared" si="50"/>
        <v/>
      </c>
      <c r="CK22" s="93" t="str">
        <f t="shared" si="33"/>
        <v/>
      </c>
      <c r="CL22" s="31" t="str">
        <f t="shared" si="51"/>
        <v/>
      </c>
      <c r="CM22" s="93" t="str">
        <f t="shared" si="34"/>
        <v/>
      </c>
      <c r="CN22" s="31" t="str">
        <f t="shared" si="52"/>
        <v/>
      </c>
      <c r="CO22" s="93" t="str">
        <f t="shared" si="35"/>
        <v/>
      </c>
      <c r="CP22" s="31" t="str">
        <f t="shared" si="53"/>
        <v/>
      </c>
      <c r="CQ22" s="26"/>
      <c r="CR22" s="32"/>
      <c r="CS22" s="26"/>
      <c r="CT22" s="26"/>
      <c r="CU22" s="26"/>
      <c r="CV22" s="32"/>
      <c r="CW22" s="26"/>
      <c r="CX22" s="26"/>
      <c r="CY22" s="26"/>
      <c r="CZ22" s="26"/>
    </row>
    <row r="23" ht="15.75" customHeight="1">
      <c r="A23" s="26"/>
      <c r="B23" s="193"/>
      <c r="C23" s="194"/>
      <c r="D23" s="195" t="str">
        <f t="shared" si="71"/>
        <v/>
      </c>
      <c r="E23" s="179"/>
      <c r="F23" s="180"/>
      <c r="G23" s="180"/>
      <c r="H23" s="180"/>
      <c r="I23" s="16"/>
      <c r="J23" s="157"/>
      <c r="K23" s="181"/>
      <c r="L23" s="182"/>
      <c r="M23" s="183" t="str">
        <f t="shared" si="72"/>
        <v/>
      </c>
      <c r="N23" s="192"/>
      <c r="O23" s="180"/>
      <c r="P23" s="180"/>
      <c r="Q23" s="180"/>
      <c r="R23" s="16"/>
      <c r="T23" s="26"/>
      <c r="U23" s="26"/>
      <c r="V23" s="26"/>
      <c r="W23" s="26"/>
      <c r="X23" s="26"/>
      <c r="Y23" s="77"/>
      <c r="Z23" s="90"/>
      <c r="AA23" s="90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93">
        <f t="shared" si="13"/>
        <v>20</v>
      </c>
      <c r="BB23" s="31">
        <f t="shared" si="36"/>
        <v>0.9826388889</v>
      </c>
      <c r="BC23" s="94">
        <f t="shared" si="14"/>
        <v>20</v>
      </c>
      <c r="BD23" s="31">
        <f t="shared" si="37"/>
        <v>0.9826388889</v>
      </c>
      <c r="BE23" s="95">
        <f t="shared" si="15"/>
        <v>0.9826388889</v>
      </c>
      <c r="BF23" s="93" t="str">
        <f t="shared" si="16"/>
        <v/>
      </c>
      <c r="BG23" s="31" t="str">
        <f t="shared" si="54"/>
        <v/>
      </c>
      <c r="BH23" s="95" t="str">
        <f t="shared" si="17"/>
        <v/>
      </c>
      <c r="BI23" s="93" t="str">
        <f t="shared" si="18"/>
        <v/>
      </c>
      <c r="BJ23" s="31" t="str">
        <f t="shared" si="38"/>
        <v/>
      </c>
      <c r="BK23" s="95" t="str">
        <f t="shared" si="19"/>
        <v/>
      </c>
      <c r="BL23" s="93" t="str">
        <f t="shared" si="20"/>
        <v/>
      </c>
      <c r="BM23" s="31" t="str">
        <f t="shared" si="39"/>
        <v/>
      </c>
      <c r="BN23" s="95" t="str">
        <f t="shared" si="21"/>
        <v/>
      </c>
      <c r="BO23" s="93">
        <f t="shared" si="22"/>
        <v>20</v>
      </c>
      <c r="BP23" s="31">
        <f t="shared" si="40"/>
        <v>0.9826388889</v>
      </c>
      <c r="BQ23" s="93" t="str">
        <f t="shared" si="23"/>
        <v/>
      </c>
      <c r="BR23" s="31" t="str">
        <f t="shared" si="41"/>
        <v/>
      </c>
      <c r="BS23" s="93" t="str">
        <f t="shared" si="24"/>
        <v/>
      </c>
      <c r="BT23" s="31" t="str">
        <f t="shared" si="42"/>
        <v/>
      </c>
      <c r="BU23" s="93" t="str">
        <f t="shared" si="25"/>
        <v/>
      </c>
      <c r="BV23" s="31" t="str">
        <f t="shared" si="43"/>
        <v/>
      </c>
      <c r="BW23" s="93" t="str">
        <f t="shared" si="26"/>
        <v/>
      </c>
      <c r="BX23" s="31" t="str">
        <f t="shared" si="44"/>
        <v/>
      </c>
      <c r="BY23" s="93" t="str">
        <f t="shared" si="27"/>
        <v/>
      </c>
      <c r="BZ23" s="31" t="str">
        <f t="shared" si="45"/>
        <v/>
      </c>
      <c r="CA23" s="93" t="str">
        <f t="shared" si="28"/>
        <v/>
      </c>
      <c r="CB23" s="31" t="str">
        <f t="shared" si="46"/>
        <v/>
      </c>
      <c r="CC23" s="93" t="str">
        <f t="shared" si="29"/>
        <v/>
      </c>
      <c r="CD23" s="31" t="str">
        <f t="shared" si="47"/>
        <v/>
      </c>
      <c r="CE23" s="93">
        <f t="shared" si="30"/>
        <v>20</v>
      </c>
      <c r="CF23" s="31">
        <f t="shared" si="48"/>
        <v>0.9826388889</v>
      </c>
      <c r="CG23" s="93">
        <f t="shared" si="31"/>
        <v>20</v>
      </c>
      <c r="CH23" s="31">
        <f t="shared" si="49"/>
        <v>0.9826388889</v>
      </c>
      <c r="CI23" s="93" t="str">
        <f t="shared" si="32"/>
        <v/>
      </c>
      <c r="CJ23" s="31" t="str">
        <f t="shared" si="50"/>
        <v/>
      </c>
      <c r="CK23" s="93" t="str">
        <f t="shared" si="33"/>
        <v/>
      </c>
      <c r="CL23" s="31" t="str">
        <f t="shared" si="51"/>
        <v/>
      </c>
      <c r="CM23" s="93" t="str">
        <f t="shared" si="34"/>
        <v/>
      </c>
      <c r="CN23" s="31" t="str">
        <f t="shared" si="52"/>
        <v/>
      </c>
      <c r="CO23" s="93" t="str">
        <f t="shared" si="35"/>
        <v/>
      </c>
      <c r="CP23" s="31" t="str">
        <f t="shared" si="53"/>
        <v/>
      </c>
      <c r="CQ23" s="26"/>
      <c r="CR23" s="196"/>
      <c r="CS23" s="26"/>
      <c r="CT23" s="26"/>
      <c r="CU23" s="26"/>
      <c r="CV23" s="32"/>
      <c r="CW23" s="26"/>
      <c r="CX23" s="26"/>
      <c r="CY23" s="26"/>
      <c r="CZ23" s="26"/>
    </row>
    <row r="24" ht="15.75" customHeight="1">
      <c r="A24" s="26"/>
      <c r="B24" s="197"/>
      <c r="C24" s="188"/>
      <c r="D24" s="189" t="str">
        <f t="shared" si="71"/>
        <v/>
      </c>
      <c r="E24" s="179"/>
      <c r="F24" s="180"/>
      <c r="G24" s="180"/>
      <c r="H24" s="180"/>
      <c r="I24" s="16"/>
      <c r="J24" s="157"/>
      <c r="K24" s="190"/>
      <c r="L24" s="191"/>
      <c r="M24" s="183" t="str">
        <f t="shared" si="72"/>
        <v/>
      </c>
      <c r="N24" s="192"/>
      <c r="O24" s="180"/>
      <c r="P24" s="180"/>
      <c r="Q24" s="180"/>
      <c r="R24" s="16"/>
      <c r="T24" s="26"/>
      <c r="U24" s="26"/>
      <c r="V24" s="26"/>
      <c r="W24" s="26"/>
      <c r="X24" s="26"/>
      <c r="Y24" s="77"/>
      <c r="Z24" s="90"/>
      <c r="AA24" s="90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93">
        <f t="shared" si="13"/>
        <v>21</v>
      </c>
      <c r="BB24" s="31">
        <f t="shared" si="36"/>
        <v>0.9861111111</v>
      </c>
      <c r="BC24" s="94">
        <f t="shared" si="14"/>
        <v>21</v>
      </c>
      <c r="BD24" s="31">
        <f t="shared" si="37"/>
        <v>0.9861111111</v>
      </c>
      <c r="BE24" s="95">
        <f t="shared" si="15"/>
        <v>0.9861111111</v>
      </c>
      <c r="BF24" s="93" t="str">
        <f t="shared" si="16"/>
        <v/>
      </c>
      <c r="BG24" s="31" t="str">
        <f t="shared" si="54"/>
        <v/>
      </c>
      <c r="BH24" s="95" t="str">
        <f t="shared" si="17"/>
        <v/>
      </c>
      <c r="BI24" s="93" t="str">
        <f t="shared" si="18"/>
        <v/>
      </c>
      <c r="BJ24" s="31" t="str">
        <f t="shared" si="38"/>
        <v/>
      </c>
      <c r="BK24" s="95" t="str">
        <f t="shared" si="19"/>
        <v/>
      </c>
      <c r="BL24" s="93" t="str">
        <f t="shared" si="20"/>
        <v/>
      </c>
      <c r="BM24" s="31" t="str">
        <f t="shared" si="39"/>
        <v/>
      </c>
      <c r="BN24" s="95" t="str">
        <f t="shared" si="21"/>
        <v/>
      </c>
      <c r="BO24" s="93">
        <f t="shared" si="22"/>
        <v>21</v>
      </c>
      <c r="BP24" s="31">
        <f t="shared" si="40"/>
        <v>0.9861111111</v>
      </c>
      <c r="BQ24" s="93" t="str">
        <f t="shared" si="23"/>
        <v/>
      </c>
      <c r="BR24" s="31" t="str">
        <f t="shared" si="41"/>
        <v/>
      </c>
      <c r="BS24" s="93" t="str">
        <f t="shared" si="24"/>
        <v/>
      </c>
      <c r="BT24" s="31" t="str">
        <f t="shared" si="42"/>
        <v/>
      </c>
      <c r="BU24" s="93" t="str">
        <f t="shared" si="25"/>
        <v/>
      </c>
      <c r="BV24" s="31" t="str">
        <f t="shared" si="43"/>
        <v/>
      </c>
      <c r="BW24" s="93" t="str">
        <f t="shared" si="26"/>
        <v/>
      </c>
      <c r="BX24" s="31" t="str">
        <f t="shared" si="44"/>
        <v/>
      </c>
      <c r="BY24" s="93" t="str">
        <f t="shared" si="27"/>
        <v/>
      </c>
      <c r="BZ24" s="31" t="str">
        <f t="shared" si="45"/>
        <v/>
      </c>
      <c r="CA24" s="93" t="str">
        <f t="shared" si="28"/>
        <v/>
      </c>
      <c r="CB24" s="31" t="str">
        <f t="shared" si="46"/>
        <v/>
      </c>
      <c r="CC24" s="93" t="str">
        <f t="shared" si="29"/>
        <v/>
      </c>
      <c r="CD24" s="31" t="str">
        <f t="shared" si="47"/>
        <v/>
      </c>
      <c r="CE24" s="93">
        <f t="shared" si="30"/>
        <v>21</v>
      </c>
      <c r="CF24" s="31">
        <f t="shared" si="48"/>
        <v>0.9861111111</v>
      </c>
      <c r="CG24" s="93">
        <f t="shared" si="31"/>
        <v>21</v>
      </c>
      <c r="CH24" s="31">
        <f t="shared" si="49"/>
        <v>0.9861111111</v>
      </c>
      <c r="CI24" s="93" t="str">
        <f t="shared" si="32"/>
        <v/>
      </c>
      <c r="CJ24" s="31" t="str">
        <f t="shared" si="50"/>
        <v/>
      </c>
      <c r="CK24" s="93" t="str">
        <f t="shared" si="33"/>
        <v/>
      </c>
      <c r="CL24" s="31" t="str">
        <f t="shared" si="51"/>
        <v/>
      </c>
      <c r="CM24" s="93" t="str">
        <f t="shared" si="34"/>
        <v/>
      </c>
      <c r="CN24" s="31" t="str">
        <f t="shared" si="52"/>
        <v/>
      </c>
      <c r="CO24" s="93" t="str">
        <f t="shared" si="35"/>
        <v/>
      </c>
      <c r="CP24" s="31" t="str">
        <f t="shared" si="53"/>
        <v/>
      </c>
      <c r="CQ24" s="26"/>
      <c r="CR24" s="32"/>
      <c r="CS24" s="26"/>
      <c r="CT24" s="26"/>
      <c r="CU24" s="26"/>
      <c r="CV24" s="32"/>
      <c r="CW24" s="26"/>
      <c r="CX24" s="26"/>
      <c r="CY24" s="26"/>
      <c r="CZ24" s="26"/>
    </row>
    <row r="25" ht="15.75" customHeight="1">
      <c r="A25" s="26"/>
      <c r="B25" s="193"/>
      <c r="C25" s="194"/>
      <c r="D25" s="195" t="str">
        <f t="shared" si="71"/>
        <v/>
      </c>
      <c r="E25" s="179"/>
      <c r="F25" s="180"/>
      <c r="G25" s="180"/>
      <c r="H25" s="180"/>
      <c r="I25" s="16"/>
      <c r="J25" s="157"/>
      <c r="K25" s="181"/>
      <c r="L25" s="182"/>
      <c r="M25" s="183" t="str">
        <f t="shared" si="72"/>
        <v/>
      </c>
      <c r="N25" s="192"/>
      <c r="O25" s="180"/>
      <c r="P25" s="180"/>
      <c r="Q25" s="180"/>
      <c r="R25" s="16"/>
      <c r="T25" s="26"/>
      <c r="U25" s="26"/>
      <c r="V25" s="26"/>
      <c r="W25" s="26"/>
      <c r="X25" s="26"/>
      <c r="Y25" s="77"/>
      <c r="Z25" s="198"/>
      <c r="AA25" s="198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93">
        <f t="shared" si="13"/>
        <v>22</v>
      </c>
      <c r="BB25" s="31">
        <f t="shared" si="36"/>
        <v>0.9895833333</v>
      </c>
      <c r="BC25" s="94">
        <f t="shared" si="14"/>
        <v>22</v>
      </c>
      <c r="BD25" s="31">
        <f t="shared" si="37"/>
        <v>0.9895833333</v>
      </c>
      <c r="BE25" s="95">
        <f t="shared" si="15"/>
        <v>0.9895833333</v>
      </c>
      <c r="BF25" s="93" t="str">
        <f t="shared" si="16"/>
        <v/>
      </c>
      <c r="BG25" s="31" t="str">
        <f t="shared" si="54"/>
        <v/>
      </c>
      <c r="BH25" s="95" t="str">
        <f t="shared" si="17"/>
        <v/>
      </c>
      <c r="BI25" s="93" t="str">
        <f t="shared" si="18"/>
        <v/>
      </c>
      <c r="BJ25" s="31" t="str">
        <f t="shared" si="38"/>
        <v/>
      </c>
      <c r="BK25" s="95" t="str">
        <f t="shared" si="19"/>
        <v/>
      </c>
      <c r="BL25" s="93" t="str">
        <f t="shared" si="20"/>
        <v/>
      </c>
      <c r="BM25" s="31" t="str">
        <f t="shared" si="39"/>
        <v/>
      </c>
      <c r="BN25" s="95" t="str">
        <f t="shared" si="21"/>
        <v/>
      </c>
      <c r="BO25" s="93">
        <f t="shared" si="22"/>
        <v>22</v>
      </c>
      <c r="BP25" s="31">
        <f t="shared" si="40"/>
        <v>0.9895833333</v>
      </c>
      <c r="BQ25" s="93" t="str">
        <f t="shared" si="23"/>
        <v/>
      </c>
      <c r="BR25" s="31" t="str">
        <f t="shared" si="41"/>
        <v/>
      </c>
      <c r="BS25" s="93" t="str">
        <f t="shared" si="24"/>
        <v/>
      </c>
      <c r="BT25" s="31" t="str">
        <f t="shared" si="42"/>
        <v/>
      </c>
      <c r="BU25" s="93" t="str">
        <f t="shared" si="25"/>
        <v/>
      </c>
      <c r="BV25" s="31" t="str">
        <f t="shared" si="43"/>
        <v/>
      </c>
      <c r="BW25" s="93" t="str">
        <f t="shared" si="26"/>
        <v/>
      </c>
      <c r="BX25" s="31" t="str">
        <f t="shared" si="44"/>
        <v/>
      </c>
      <c r="BY25" s="93" t="str">
        <f t="shared" si="27"/>
        <v/>
      </c>
      <c r="BZ25" s="31" t="str">
        <f t="shared" si="45"/>
        <v/>
      </c>
      <c r="CA25" s="93" t="str">
        <f t="shared" si="28"/>
        <v/>
      </c>
      <c r="CB25" s="31" t="str">
        <f t="shared" si="46"/>
        <v/>
      </c>
      <c r="CC25" s="93" t="str">
        <f t="shared" si="29"/>
        <v/>
      </c>
      <c r="CD25" s="31" t="str">
        <f t="shared" si="47"/>
        <v/>
      </c>
      <c r="CE25" s="93">
        <f t="shared" si="30"/>
        <v>22</v>
      </c>
      <c r="CF25" s="31">
        <f t="shared" si="48"/>
        <v>0.9895833333</v>
      </c>
      <c r="CG25" s="93">
        <f t="shared" si="31"/>
        <v>22</v>
      </c>
      <c r="CH25" s="31">
        <f t="shared" si="49"/>
        <v>0.9895833333</v>
      </c>
      <c r="CI25" s="93" t="str">
        <f t="shared" si="32"/>
        <v/>
      </c>
      <c r="CJ25" s="31" t="str">
        <f t="shared" si="50"/>
        <v/>
      </c>
      <c r="CK25" s="93" t="str">
        <f t="shared" si="33"/>
        <v/>
      </c>
      <c r="CL25" s="31" t="str">
        <f t="shared" si="51"/>
        <v/>
      </c>
      <c r="CM25" s="93" t="str">
        <f t="shared" si="34"/>
        <v/>
      </c>
      <c r="CN25" s="31" t="str">
        <f t="shared" si="52"/>
        <v/>
      </c>
      <c r="CO25" s="93" t="str">
        <f t="shared" si="35"/>
        <v/>
      </c>
      <c r="CP25" s="31" t="str">
        <f t="shared" si="53"/>
        <v/>
      </c>
      <c r="CQ25" s="26"/>
      <c r="CR25" s="32"/>
      <c r="CS25" s="26"/>
      <c r="CT25" s="26"/>
      <c r="CU25" s="26"/>
      <c r="CV25" s="32"/>
      <c r="CW25" s="26"/>
      <c r="CX25" s="26"/>
      <c r="CY25" s="26"/>
      <c r="CZ25" s="26"/>
    </row>
    <row r="26" ht="15.75" customHeight="1">
      <c r="A26" s="26"/>
      <c r="B26" s="197"/>
      <c r="C26" s="188"/>
      <c r="D26" s="189" t="str">
        <f t="shared" si="71"/>
        <v/>
      </c>
      <c r="E26" s="179"/>
      <c r="F26" s="180"/>
      <c r="G26" s="180"/>
      <c r="H26" s="180"/>
      <c r="I26" s="16"/>
      <c r="J26" s="157"/>
      <c r="K26" s="190"/>
      <c r="L26" s="191"/>
      <c r="M26" s="183" t="str">
        <f t="shared" si="72"/>
        <v/>
      </c>
      <c r="N26" s="192"/>
      <c r="O26" s="180"/>
      <c r="P26" s="180"/>
      <c r="Q26" s="180"/>
      <c r="R26" s="16"/>
      <c r="T26" s="26"/>
      <c r="U26" s="26"/>
      <c r="V26" s="26"/>
      <c r="W26" s="199"/>
      <c r="X26" s="26"/>
      <c r="Y26" s="77"/>
      <c r="Z26" s="90"/>
      <c r="AA26" s="90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93">
        <f t="shared" si="13"/>
        <v>23</v>
      </c>
      <c r="BB26" s="31">
        <f t="shared" si="36"/>
        <v>0.9930555556</v>
      </c>
      <c r="BC26" s="94">
        <f t="shared" si="14"/>
        <v>23</v>
      </c>
      <c r="BD26" s="31">
        <f t="shared" si="37"/>
        <v>0.9930555556</v>
      </c>
      <c r="BE26" s="95">
        <f t="shared" si="15"/>
        <v>0.9930555556</v>
      </c>
      <c r="BF26" s="93" t="str">
        <f t="shared" si="16"/>
        <v/>
      </c>
      <c r="BG26" s="31" t="str">
        <f t="shared" si="54"/>
        <v/>
      </c>
      <c r="BH26" s="95" t="str">
        <f t="shared" si="17"/>
        <v/>
      </c>
      <c r="BI26" s="93" t="str">
        <f t="shared" si="18"/>
        <v/>
      </c>
      <c r="BJ26" s="31" t="str">
        <f t="shared" si="38"/>
        <v/>
      </c>
      <c r="BK26" s="95" t="str">
        <f t="shared" si="19"/>
        <v/>
      </c>
      <c r="BL26" s="93" t="str">
        <f t="shared" si="20"/>
        <v/>
      </c>
      <c r="BM26" s="31" t="str">
        <f t="shared" si="39"/>
        <v/>
      </c>
      <c r="BN26" s="95" t="str">
        <f t="shared" si="21"/>
        <v/>
      </c>
      <c r="BO26" s="93">
        <f t="shared" si="22"/>
        <v>23</v>
      </c>
      <c r="BP26" s="31">
        <f t="shared" si="40"/>
        <v>0.9930555556</v>
      </c>
      <c r="BQ26" s="93" t="str">
        <f t="shared" si="23"/>
        <v/>
      </c>
      <c r="BR26" s="31" t="str">
        <f t="shared" si="41"/>
        <v/>
      </c>
      <c r="BS26" s="93" t="str">
        <f t="shared" si="24"/>
        <v/>
      </c>
      <c r="BT26" s="31" t="str">
        <f t="shared" si="42"/>
        <v/>
      </c>
      <c r="BU26" s="93" t="str">
        <f t="shared" si="25"/>
        <v/>
      </c>
      <c r="BV26" s="31" t="str">
        <f t="shared" si="43"/>
        <v/>
      </c>
      <c r="BW26" s="93" t="str">
        <f t="shared" si="26"/>
        <v/>
      </c>
      <c r="BX26" s="31" t="str">
        <f t="shared" si="44"/>
        <v/>
      </c>
      <c r="BY26" s="93" t="str">
        <f t="shared" si="27"/>
        <v/>
      </c>
      <c r="BZ26" s="31" t="str">
        <f t="shared" si="45"/>
        <v/>
      </c>
      <c r="CA26" s="93" t="str">
        <f t="shared" si="28"/>
        <v/>
      </c>
      <c r="CB26" s="31" t="str">
        <f t="shared" si="46"/>
        <v/>
      </c>
      <c r="CC26" s="93" t="str">
        <f t="shared" si="29"/>
        <v/>
      </c>
      <c r="CD26" s="31" t="str">
        <f t="shared" si="47"/>
        <v/>
      </c>
      <c r="CE26" s="93">
        <f t="shared" si="30"/>
        <v>23</v>
      </c>
      <c r="CF26" s="31">
        <f t="shared" si="48"/>
        <v>0.9930555556</v>
      </c>
      <c r="CG26" s="93">
        <f t="shared" si="31"/>
        <v>23</v>
      </c>
      <c r="CH26" s="31">
        <f t="shared" si="49"/>
        <v>0.9930555556</v>
      </c>
      <c r="CI26" s="93" t="str">
        <f t="shared" si="32"/>
        <v/>
      </c>
      <c r="CJ26" s="31" t="str">
        <f t="shared" si="50"/>
        <v/>
      </c>
      <c r="CK26" s="93" t="str">
        <f t="shared" si="33"/>
        <v/>
      </c>
      <c r="CL26" s="31" t="str">
        <f t="shared" si="51"/>
        <v/>
      </c>
      <c r="CM26" s="93" t="str">
        <f t="shared" si="34"/>
        <v/>
      </c>
      <c r="CN26" s="31" t="str">
        <f t="shared" si="52"/>
        <v/>
      </c>
      <c r="CO26" s="93" t="str">
        <f t="shared" si="35"/>
        <v/>
      </c>
      <c r="CP26" s="31" t="str">
        <f t="shared" si="53"/>
        <v/>
      </c>
      <c r="CQ26" s="26"/>
      <c r="CR26" s="32"/>
      <c r="CS26" s="26"/>
      <c r="CT26" s="26"/>
      <c r="CU26" s="26"/>
      <c r="CV26" s="32"/>
      <c r="CW26" s="26"/>
      <c r="CX26" s="26"/>
      <c r="CY26" s="26"/>
      <c r="CZ26" s="26"/>
    </row>
    <row r="27" ht="15.75" customHeight="1">
      <c r="A27" s="26"/>
      <c r="B27" s="193"/>
      <c r="C27" s="194"/>
      <c r="D27" s="195" t="str">
        <f t="shared" si="71"/>
        <v/>
      </c>
      <c r="E27" s="179"/>
      <c r="F27" s="180"/>
      <c r="G27" s="180"/>
      <c r="H27" s="180"/>
      <c r="I27" s="16"/>
      <c r="J27" s="157"/>
      <c r="K27" s="181"/>
      <c r="L27" s="182"/>
      <c r="M27" s="183" t="str">
        <f t="shared" si="72"/>
        <v/>
      </c>
      <c r="N27" s="192"/>
      <c r="O27" s="180"/>
      <c r="P27" s="180"/>
      <c r="Q27" s="180"/>
      <c r="R27" s="16"/>
      <c r="T27" s="26"/>
      <c r="U27" s="200" t="s">
        <v>100</v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93">
        <f t="shared" si="13"/>
        <v>24</v>
      </c>
      <c r="BB27" s="31">
        <f t="shared" si="36"/>
        <v>0.9965277778</v>
      </c>
      <c r="BC27" s="94">
        <f t="shared" si="14"/>
        <v>24</v>
      </c>
      <c r="BD27" s="31">
        <f t="shared" si="37"/>
        <v>0.9965277778</v>
      </c>
      <c r="BE27" s="95">
        <f t="shared" si="15"/>
        <v>0.9965277778</v>
      </c>
      <c r="BF27" s="93" t="str">
        <f t="shared" si="16"/>
        <v/>
      </c>
      <c r="BG27" s="31" t="str">
        <f t="shared" si="54"/>
        <v/>
      </c>
      <c r="BH27" s="95" t="str">
        <f t="shared" si="17"/>
        <v/>
      </c>
      <c r="BI27" s="93" t="str">
        <f t="shared" si="18"/>
        <v/>
      </c>
      <c r="BJ27" s="31" t="str">
        <f t="shared" si="38"/>
        <v/>
      </c>
      <c r="BK27" s="95" t="str">
        <f t="shared" si="19"/>
        <v/>
      </c>
      <c r="BL27" s="93" t="str">
        <f t="shared" si="20"/>
        <v/>
      </c>
      <c r="BM27" s="31" t="str">
        <f t="shared" si="39"/>
        <v/>
      </c>
      <c r="BN27" s="95" t="str">
        <f t="shared" si="21"/>
        <v/>
      </c>
      <c r="BO27" s="93">
        <f t="shared" si="22"/>
        <v>24</v>
      </c>
      <c r="BP27" s="31">
        <f t="shared" si="40"/>
        <v>0.9965277778</v>
      </c>
      <c r="BQ27" s="93" t="str">
        <f t="shared" si="23"/>
        <v/>
      </c>
      <c r="BR27" s="31" t="str">
        <f t="shared" si="41"/>
        <v/>
      </c>
      <c r="BS27" s="93" t="str">
        <f t="shared" si="24"/>
        <v/>
      </c>
      <c r="BT27" s="31" t="str">
        <f t="shared" si="42"/>
        <v/>
      </c>
      <c r="BU27" s="93" t="str">
        <f t="shared" si="25"/>
        <v/>
      </c>
      <c r="BV27" s="31" t="str">
        <f t="shared" si="43"/>
        <v/>
      </c>
      <c r="BW27" s="93" t="str">
        <f t="shared" si="26"/>
        <v/>
      </c>
      <c r="BX27" s="31" t="str">
        <f t="shared" si="44"/>
        <v/>
      </c>
      <c r="BY27" s="93" t="str">
        <f t="shared" si="27"/>
        <v/>
      </c>
      <c r="BZ27" s="31" t="str">
        <f t="shared" si="45"/>
        <v/>
      </c>
      <c r="CA27" s="93" t="str">
        <f t="shared" si="28"/>
        <v/>
      </c>
      <c r="CB27" s="31" t="str">
        <f t="shared" si="46"/>
        <v/>
      </c>
      <c r="CC27" s="93" t="str">
        <f t="shared" si="29"/>
        <v/>
      </c>
      <c r="CD27" s="31" t="str">
        <f t="shared" si="47"/>
        <v/>
      </c>
      <c r="CE27" s="93">
        <f t="shared" si="30"/>
        <v>24</v>
      </c>
      <c r="CF27" s="31">
        <f t="shared" si="48"/>
        <v>0.9965277778</v>
      </c>
      <c r="CG27" s="93">
        <f t="shared" si="31"/>
        <v>24</v>
      </c>
      <c r="CH27" s="31">
        <f t="shared" si="49"/>
        <v>0.9965277778</v>
      </c>
      <c r="CI27" s="93" t="str">
        <f t="shared" si="32"/>
        <v/>
      </c>
      <c r="CJ27" s="31" t="str">
        <f t="shared" si="50"/>
        <v/>
      </c>
      <c r="CK27" s="93" t="str">
        <f t="shared" si="33"/>
        <v/>
      </c>
      <c r="CL27" s="31" t="str">
        <f t="shared" si="51"/>
        <v/>
      </c>
      <c r="CM27" s="93" t="str">
        <f t="shared" si="34"/>
        <v/>
      </c>
      <c r="CN27" s="31" t="str">
        <f t="shared" si="52"/>
        <v/>
      </c>
      <c r="CO27" s="93" t="str">
        <f t="shared" si="35"/>
        <v/>
      </c>
      <c r="CP27" s="31" t="str">
        <f t="shared" si="53"/>
        <v/>
      </c>
      <c r="CQ27" s="26"/>
      <c r="CR27" s="32"/>
      <c r="CS27" s="26"/>
      <c r="CT27" s="26"/>
      <c r="CU27" s="26"/>
      <c r="CV27" s="32"/>
      <c r="CW27" s="26"/>
      <c r="CX27" s="26"/>
      <c r="CY27" s="26"/>
      <c r="CZ27" s="26"/>
    </row>
    <row r="28" ht="15.75" customHeight="1">
      <c r="A28" s="26"/>
      <c r="B28" s="197"/>
      <c r="C28" s="188"/>
      <c r="D28" s="189" t="str">
        <f t="shared" si="71"/>
        <v/>
      </c>
      <c r="E28" s="179"/>
      <c r="F28" s="180"/>
      <c r="G28" s="180"/>
      <c r="H28" s="180"/>
      <c r="I28" s="16"/>
      <c r="J28" s="157"/>
      <c r="K28" s="190"/>
      <c r="L28" s="191"/>
      <c r="M28" s="183" t="str">
        <f t="shared" si="72"/>
        <v/>
      </c>
      <c r="N28" s="192"/>
      <c r="O28" s="180"/>
      <c r="P28" s="180"/>
      <c r="Q28" s="180"/>
      <c r="R28" s="1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93">
        <f t="shared" si="13"/>
        <v>25</v>
      </c>
      <c r="BB28" s="31">
        <f t="shared" si="36"/>
        <v>1</v>
      </c>
      <c r="BC28" s="94">
        <f t="shared" si="14"/>
        <v>25</v>
      </c>
      <c r="BD28" s="31">
        <f t="shared" si="37"/>
        <v>1</v>
      </c>
      <c r="BE28" s="95">
        <f t="shared" si="15"/>
        <v>1</v>
      </c>
      <c r="BF28" s="93" t="str">
        <f t="shared" si="16"/>
        <v/>
      </c>
      <c r="BG28" s="31" t="str">
        <f t="shared" si="54"/>
        <v/>
      </c>
      <c r="BH28" s="95" t="str">
        <f t="shared" si="17"/>
        <v/>
      </c>
      <c r="BI28" s="93" t="str">
        <f t="shared" si="18"/>
        <v/>
      </c>
      <c r="BJ28" s="31" t="str">
        <f t="shared" si="38"/>
        <v/>
      </c>
      <c r="BK28" s="95" t="str">
        <f t="shared" si="19"/>
        <v/>
      </c>
      <c r="BL28" s="93" t="str">
        <f t="shared" si="20"/>
        <v/>
      </c>
      <c r="BM28" s="31" t="str">
        <f t="shared" si="39"/>
        <v/>
      </c>
      <c r="BN28" s="95" t="str">
        <f t="shared" si="21"/>
        <v/>
      </c>
      <c r="BO28" s="93">
        <f t="shared" si="22"/>
        <v>25</v>
      </c>
      <c r="BP28" s="31">
        <f t="shared" si="40"/>
        <v>1</v>
      </c>
      <c r="BQ28" s="93" t="str">
        <f t="shared" si="23"/>
        <v/>
      </c>
      <c r="BR28" s="31" t="str">
        <f t="shared" si="41"/>
        <v/>
      </c>
      <c r="BS28" s="93" t="str">
        <f t="shared" si="24"/>
        <v/>
      </c>
      <c r="BT28" s="31" t="str">
        <f t="shared" si="42"/>
        <v/>
      </c>
      <c r="BU28" s="93" t="str">
        <f t="shared" si="25"/>
        <v/>
      </c>
      <c r="BV28" s="31" t="str">
        <f t="shared" si="43"/>
        <v/>
      </c>
      <c r="BW28" s="93" t="str">
        <f t="shared" si="26"/>
        <v/>
      </c>
      <c r="BX28" s="31" t="str">
        <f t="shared" si="44"/>
        <v/>
      </c>
      <c r="BY28" s="93" t="str">
        <f t="shared" si="27"/>
        <v/>
      </c>
      <c r="BZ28" s="31" t="str">
        <f t="shared" si="45"/>
        <v/>
      </c>
      <c r="CA28" s="93" t="str">
        <f t="shared" si="28"/>
        <v/>
      </c>
      <c r="CB28" s="31" t="str">
        <f t="shared" si="46"/>
        <v/>
      </c>
      <c r="CC28" s="93" t="str">
        <f t="shared" si="29"/>
        <v/>
      </c>
      <c r="CD28" s="31" t="str">
        <f t="shared" si="47"/>
        <v/>
      </c>
      <c r="CE28" s="93">
        <f t="shared" si="30"/>
        <v>25</v>
      </c>
      <c r="CF28" s="31">
        <f t="shared" si="48"/>
        <v>1</v>
      </c>
      <c r="CG28" s="93">
        <f t="shared" si="31"/>
        <v>25</v>
      </c>
      <c r="CH28" s="31">
        <f t="shared" si="49"/>
        <v>1</v>
      </c>
      <c r="CI28" s="93" t="str">
        <f t="shared" si="32"/>
        <v/>
      </c>
      <c r="CJ28" s="31" t="str">
        <f t="shared" si="50"/>
        <v/>
      </c>
      <c r="CK28" s="93" t="str">
        <f t="shared" si="33"/>
        <v/>
      </c>
      <c r="CL28" s="31" t="str">
        <f t="shared" si="51"/>
        <v/>
      </c>
      <c r="CM28" s="93" t="str">
        <f t="shared" si="34"/>
        <v/>
      </c>
      <c r="CN28" s="31" t="str">
        <f t="shared" si="52"/>
        <v/>
      </c>
      <c r="CO28" s="93" t="str">
        <f t="shared" si="35"/>
        <v/>
      </c>
      <c r="CP28" s="31" t="str">
        <f t="shared" si="53"/>
        <v/>
      </c>
      <c r="CQ28" s="26"/>
      <c r="CR28" s="32"/>
      <c r="CS28" s="26"/>
      <c r="CT28" s="26"/>
      <c r="CU28" s="26"/>
      <c r="CV28" s="32"/>
      <c r="CW28" s="26"/>
      <c r="CX28" s="26"/>
      <c r="CY28" s="26"/>
      <c r="CZ28" s="26"/>
    </row>
    <row r="29" ht="15.75" customHeight="1">
      <c r="A29" s="26"/>
      <c r="B29" s="193"/>
      <c r="C29" s="194"/>
      <c r="D29" s="195" t="str">
        <f t="shared" si="71"/>
        <v/>
      </c>
      <c r="E29" s="179"/>
      <c r="F29" s="180"/>
      <c r="G29" s="180"/>
      <c r="H29" s="180"/>
      <c r="I29" s="16"/>
      <c r="J29" s="157"/>
      <c r="K29" s="181"/>
      <c r="L29" s="182"/>
      <c r="M29" s="183" t="str">
        <f t="shared" si="72"/>
        <v/>
      </c>
      <c r="N29" s="192"/>
      <c r="O29" s="180"/>
      <c r="P29" s="180"/>
      <c r="Q29" s="180"/>
      <c r="R29" s="1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93">
        <f t="shared" si="13"/>
        <v>26</v>
      </c>
      <c r="BB29" s="31">
        <f t="shared" si="36"/>
        <v>1.003472222</v>
      </c>
      <c r="BC29" s="94">
        <f t="shared" si="14"/>
        <v>26</v>
      </c>
      <c r="BD29" s="31">
        <f t="shared" si="37"/>
        <v>1.003472222</v>
      </c>
      <c r="BE29" s="95">
        <f t="shared" si="15"/>
        <v>1.003472222</v>
      </c>
      <c r="BF29" s="93" t="str">
        <f t="shared" si="16"/>
        <v/>
      </c>
      <c r="BG29" s="31" t="str">
        <f t="shared" si="54"/>
        <v/>
      </c>
      <c r="BH29" s="95" t="str">
        <f t="shared" si="17"/>
        <v/>
      </c>
      <c r="BI29" s="93" t="str">
        <f t="shared" si="18"/>
        <v/>
      </c>
      <c r="BJ29" s="31" t="str">
        <f t="shared" si="38"/>
        <v/>
      </c>
      <c r="BK29" s="95" t="str">
        <f t="shared" si="19"/>
        <v/>
      </c>
      <c r="BL29" s="93" t="str">
        <f t="shared" si="20"/>
        <v/>
      </c>
      <c r="BM29" s="31" t="str">
        <f t="shared" si="39"/>
        <v/>
      </c>
      <c r="BN29" s="95" t="str">
        <f t="shared" si="21"/>
        <v/>
      </c>
      <c r="BO29" s="93">
        <f t="shared" si="22"/>
        <v>26</v>
      </c>
      <c r="BP29" s="31">
        <f t="shared" si="40"/>
        <v>1.003472222</v>
      </c>
      <c r="BQ29" s="93" t="str">
        <f t="shared" si="23"/>
        <v/>
      </c>
      <c r="BR29" s="31" t="str">
        <f t="shared" si="41"/>
        <v/>
      </c>
      <c r="BS29" s="93" t="str">
        <f t="shared" si="24"/>
        <v/>
      </c>
      <c r="BT29" s="31" t="str">
        <f t="shared" si="42"/>
        <v/>
      </c>
      <c r="BU29" s="93" t="str">
        <f t="shared" si="25"/>
        <v/>
      </c>
      <c r="BV29" s="31" t="str">
        <f t="shared" si="43"/>
        <v/>
      </c>
      <c r="BW29" s="93" t="str">
        <f t="shared" si="26"/>
        <v/>
      </c>
      <c r="BX29" s="31" t="str">
        <f t="shared" si="44"/>
        <v/>
      </c>
      <c r="BY29" s="93" t="str">
        <f t="shared" si="27"/>
        <v/>
      </c>
      <c r="BZ29" s="31" t="str">
        <f t="shared" si="45"/>
        <v/>
      </c>
      <c r="CA29" s="93" t="str">
        <f t="shared" si="28"/>
        <v/>
      </c>
      <c r="CB29" s="31" t="str">
        <f t="shared" si="46"/>
        <v/>
      </c>
      <c r="CC29" s="93" t="str">
        <f t="shared" si="29"/>
        <v/>
      </c>
      <c r="CD29" s="31" t="str">
        <f t="shared" si="47"/>
        <v/>
      </c>
      <c r="CE29" s="93">
        <f t="shared" si="30"/>
        <v>26</v>
      </c>
      <c r="CF29" s="31">
        <f t="shared" si="48"/>
        <v>1.003472222</v>
      </c>
      <c r="CG29" s="93">
        <f t="shared" si="31"/>
        <v>26</v>
      </c>
      <c r="CH29" s="31">
        <f t="shared" si="49"/>
        <v>1.003472222</v>
      </c>
      <c r="CI29" s="93" t="str">
        <f t="shared" si="32"/>
        <v/>
      </c>
      <c r="CJ29" s="31" t="str">
        <f t="shared" si="50"/>
        <v/>
      </c>
      <c r="CK29" s="93" t="str">
        <f t="shared" si="33"/>
        <v/>
      </c>
      <c r="CL29" s="31" t="str">
        <f t="shared" si="51"/>
        <v/>
      </c>
      <c r="CM29" s="93" t="str">
        <f t="shared" si="34"/>
        <v/>
      </c>
      <c r="CN29" s="31" t="str">
        <f t="shared" si="52"/>
        <v/>
      </c>
      <c r="CO29" s="93" t="str">
        <f t="shared" si="35"/>
        <v/>
      </c>
      <c r="CP29" s="31" t="str">
        <f t="shared" si="53"/>
        <v/>
      </c>
      <c r="CQ29" s="26"/>
      <c r="CR29" s="32"/>
      <c r="CS29" s="26"/>
      <c r="CT29" s="26"/>
      <c r="CU29" s="26"/>
      <c r="CV29" s="32"/>
      <c r="CW29" s="26"/>
      <c r="CX29" s="26"/>
      <c r="CY29" s="26"/>
      <c r="CZ29" s="26"/>
    </row>
    <row r="30" ht="15.75" customHeight="1">
      <c r="A30" s="26"/>
      <c r="B30" s="197"/>
      <c r="C30" s="188"/>
      <c r="D30" s="189" t="str">
        <f t="shared" si="71"/>
        <v/>
      </c>
      <c r="E30" s="179"/>
      <c r="F30" s="180"/>
      <c r="G30" s="180"/>
      <c r="H30" s="180"/>
      <c r="I30" s="16"/>
      <c r="J30" s="157"/>
      <c r="K30" s="201"/>
      <c r="L30" s="202"/>
      <c r="M30" s="183" t="str">
        <f t="shared" si="72"/>
        <v/>
      </c>
      <c r="N30" s="192"/>
      <c r="O30" s="180"/>
      <c r="P30" s="180"/>
      <c r="Q30" s="180"/>
      <c r="R30" s="1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93">
        <f t="shared" si="13"/>
        <v>27</v>
      </c>
      <c r="BB30" s="31">
        <f t="shared" si="36"/>
        <v>1.006944444</v>
      </c>
      <c r="BC30" s="94">
        <f t="shared" si="14"/>
        <v>27</v>
      </c>
      <c r="BD30" s="31">
        <f t="shared" si="37"/>
        <v>1.006944444</v>
      </c>
      <c r="BE30" s="95">
        <f t="shared" si="15"/>
        <v>1.006944444</v>
      </c>
      <c r="BF30" s="93" t="str">
        <f t="shared" si="16"/>
        <v/>
      </c>
      <c r="BG30" s="31" t="str">
        <f t="shared" si="54"/>
        <v/>
      </c>
      <c r="BH30" s="95" t="str">
        <f t="shared" si="17"/>
        <v/>
      </c>
      <c r="BI30" s="93" t="str">
        <f t="shared" si="18"/>
        <v/>
      </c>
      <c r="BJ30" s="31" t="str">
        <f t="shared" si="38"/>
        <v/>
      </c>
      <c r="BK30" s="95" t="str">
        <f t="shared" si="19"/>
        <v/>
      </c>
      <c r="BL30" s="93" t="str">
        <f t="shared" si="20"/>
        <v/>
      </c>
      <c r="BM30" s="31" t="str">
        <f t="shared" si="39"/>
        <v/>
      </c>
      <c r="BN30" s="95" t="str">
        <f t="shared" si="21"/>
        <v/>
      </c>
      <c r="BO30" s="93">
        <f t="shared" si="22"/>
        <v>27</v>
      </c>
      <c r="BP30" s="31">
        <f t="shared" si="40"/>
        <v>1.006944444</v>
      </c>
      <c r="BQ30" s="93" t="str">
        <f t="shared" si="23"/>
        <v/>
      </c>
      <c r="BR30" s="31" t="str">
        <f t="shared" si="41"/>
        <v/>
      </c>
      <c r="BS30" s="93" t="str">
        <f t="shared" si="24"/>
        <v/>
      </c>
      <c r="BT30" s="31" t="str">
        <f t="shared" si="42"/>
        <v/>
      </c>
      <c r="BU30" s="93" t="str">
        <f t="shared" si="25"/>
        <v/>
      </c>
      <c r="BV30" s="31" t="str">
        <f t="shared" si="43"/>
        <v/>
      </c>
      <c r="BW30" s="93" t="str">
        <f t="shared" si="26"/>
        <v/>
      </c>
      <c r="BX30" s="31" t="str">
        <f t="shared" si="44"/>
        <v/>
      </c>
      <c r="BY30" s="93" t="str">
        <f t="shared" si="27"/>
        <v/>
      </c>
      <c r="BZ30" s="31" t="str">
        <f t="shared" si="45"/>
        <v/>
      </c>
      <c r="CA30" s="93" t="str">
        <f t="shared" si="28"/>
        <v/>
      </c>
      <c r="CB30" s="31" t="str">
        <f t="shared" si="46"/>
        <v/>
      </c>
      <c r="CC30" s="93" t="str">
        <f t="shared" si="29"/>
        <v/>
      </c>
      <c r="CD30" s="31" t="str">
        <f t="shared" si="47"/>
        <v/>
      </c>
      <c r="CE30" s="93">
        <f t="shared" si="30"/>
        <v>27</v>
      </c>
      <c r="CF30" s="31">
        <f t="shared" si="48"/>
        <v>1.006944444</v>
      </c>
      <c r="CG30" s="93">
        <f t="shared" si="31"/>
        <v>27</v>
      </c>
      <c r="CH30" s="31">
        <f t="shared" si="49"/>
        <v>1.006944444</v>
      </c>
      <c r="CI30" s="93" t="str">
        <f t="shared" si="32"/>
        <v/>
      </c>
      <c r="CJ30" s="31" t="str">
        <f t="shared" si="50"/>
        <v/>
      </c>
      <c r="CK30" s="93" t="str">
        <f t="shared" si="33"/>
        <v/>
      </c>
      <c r="CL30" s="31" t="str">
        <f t="shared" si="51"/>
        <v/>
      </c>
      <c r="CM30" s="93" t="str">
        <f t="shared" si="34"/>
        <v/>
      </c>
      <c r="CN30" s="31" t="str">
        <f t="shared" si="52"/>
        <v/>
      </c>
      <c r="CO30" s="93" t="str">
        <f t="shared" si="35"/>
        <v/>
      </c>
      <c r="CP30" s="31" t="str">
        <f t="shared" si="53"/>
        <v/>
      </c>
      <c r="CQ30" s="26"/>
      <c r="CR30" s="32"/>
      <c r="CS30" s="26"/>
      <c r="CT30" s="26"/>
      <c r="CU30" s="26"/>
      <c r="CV30" s="32"/>
      <c r="CW30" s="26"/>
      <c r="CX30" s="26"/>
      <c r="CY30" s="26"/>
      <c r="CZ30" s="26"/>
    </row>
    <row r="31" ht="15.75" customHeight="1">
      <c r="A31" s="26"/>
      <c r="B31" s="193"/>
      <c r="C31" s="194"/>
      <c r="D31" s="189" t="str">
        <f t="shared" si="71"/>
        <v/>
      </c>
      <c r="E31" s="179"/>
      <c r="F31" s="180"/>
      <c r="G31" s="180"/>
      <c r="H31" s="180"/>
      <c r="I31" s="16"/>
      <c r="J31" s="157"/>
      <c r="K31" s="203"/>
      <c r="L31" s="204"/>
      <c r="M31" s="183" t="str">
        <f t="shared" si="72"/>
        <v/>
      </c>
      <c r="N31" s="205"/>
      <c r="O31" s="206"/>
      <c r="P31" s="206"/>
      <c r="Q31" s="206"/>
      <c r="R31" s="207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93">
        <f t="shared" si="13"/>
        <v>28</v>
      </c>
      <c r="BB31" s="31">
        <f t="shared" si="36"/>
        <v>1.010416667</v>
      </c>
      <c r="BC31" s="94">
        <f t="shared" si="14"/>
        <v>28</v>
      </c>
      <c r="BD31" s="31">
        <f t="shared" si="37"/>
        <v>1.010416667</v>
      </c>
      <c r="BE31" s="95">
        <f t="shared" si="15"/>
        <v>1.010416667</v>
      </c>
      <c r="BF31" s="93" t="str">
        <f t="shared" si="16"/>
        <v/>
      </c>
      <c r="BG31" s="31" t="str">
        <f t="shared" si="54"/>
        <v/>
      </c>
      <c r="BH31" s="95" t="str">
        <f t="shared" si="17"/>
        <v/>
      </c>
      <c r="BI31" s="93" t="str">
        <f t="shared" si="18"/>
        <v/>
      </c>
      <c r="BJ31" s="31" t="str">
        <f t="shared" si="38"/>
        <v/>
      </c>
      <c r="BK31" s="95" t="str">
        <f t="shared" si="19"/>
        <v/>
      </c>
      <c r="BL31" s="93" t="str">
        <f t="shared" si="20"/>
        <v/>
      </c>
      <c r="BM31" s="31" t="str">
        <f t="shared" si="39"/>
        <v/>
      </c>
      <c r="BN31" s="95" t="str">
        <f t="shared" si="21"/>
        <v/>
      </c>
      <c r="BO31" s="93">
        <f t="shared" si="22"/>
        <v>28</v>
      </c>
      <c r="BP31" s="31">
        <f t="shared" si="40"/>
        <v>1.010416667</v>
      </c>
      <c r="BQ31" s="93" t="str">
        <f t="shared" si="23"/>
        <v/>
      </c>
      <c r="BR31" s="31" t="str">
        <f t="shared" si="41"/>
        <v/>
      </c>
      <c r="BS31" s="93" t="str">
        <f t="shared" si="24"/>
        <v/>
      </c>
      <c r="BT31" s="31" t="str">
        <f t="shared" si="42"/>
        <v/>
      </c>
      <c r="BU31" s="93" t="str">
        <f t="shared" si="25"/>
        <v/>
      </c>
      <c r="BV31" s="31" t="str">
        <f t="shared" si="43"/>
        <v/>
      </c>
      <c r="BW31" s="93" t="str">
        <f t="shared" si="26"/>
        <v/>
      </c>
      <c r="BX31" s="31" t="str">
        <f t="shared" si="44"/>
        <v/>
      </c>
      <c r="BY31" s="93" t="str">
        <f t="shared" si="27"/>
        <v/>
      </c>
      <c r="BZ31" s="31" t="str">
        <f t="shared" si="45"/>
        <v/>
      </c>
      <c r="CA31" s="93" t="str">
        <f t="shared" si="28"/>
        <v/>
      </c>
      <c r="CB31" s="31" t="str">
        <f t="shared" si="46"/>
        <v/>
      </c>
      <c r="CC31" s="93" t="str">
        <f t="shared" si="29"/>
        <v/>
      </c>
      <c r="CD31" s="31" t="str">
        <f t="shared" si="47"/>
        <v/>
      </c>
      <c r="CE31" s="93">
        <f t="shared" si="30"/>
        <v>28</v>
      </c>
      <c r="CF31" s="31">
        <f t="shared" si="48"/>
        <v>1.010416667</v>
      </c>
      <c r="CG31" s="93">
        <f t="shared" si="31"/>
        <v>28</v>
      </c>
      <c r="CH31" s="31">
        <f t="shared" si="49"/>
        <v>1.010416667</v>
      </c>
      <c r="CI31" s="93" t="str">
        <f t="shared" si="32"/>
        <v/>
      </c>
      <c r="CJ31" s="31" t="str">
        <f t="shared" si="50"/>
        <v/>
      </c>
      <c r="CK31" s="93" t="str">
        <f t="shared" si="33"/>
        <v/>
      </c>
      <c r="CL31" s="31" t="str">
        <f t="shared" si="51"/>
        <v/>
      </c>
      <c r="CM31" s="93" t="str">
        <f t="shared" si="34"/>
        <v/>
      </c>
      <c r="CN31" s="31" t="str">
        <f t="shared" si="52"/>
        <v/>
      </c>
      <c r="CO31" s="93" t="str">
        <f t="shared" si="35"/>
        <v/>
      </c>
      <c r="CP31" s="31" t="str">
        <f t="shared" si="53"/>
        <v/>
      </c>
      <c r="CQ31" s="26"/>
      <c r="CR31" s="32"/>
      <c r="CS31" s="26"/>
      <c r="CT31" s="26"/>
      <c r="CU31" s="26"/>
      <c r="CV31" s="32"/>
      <c r="CW31" s="26"/>
      <c r="CX31" s="26"/>
      <c r="CY31" s="26"/>
      <c r="CZ31" s="26"/>
    </row>
    <row r="32" ht="15.75" customHeight="1">
      <c r="A32" s="26"/>
      <c r="B32" s="208"/>
      <c r="C32" s="209"/>
      <c r="D32" s="210">
        <f>SUM(D21:D30)</f>
        <v>0</v>
      </c>
      <c r="E32" s="211"/>
      <c r="F32" s="212"/>
      <c r="G32" s="212"/>
      <c r="H32" s="212"/>
      <c r="I32" s="213"/>
      <c r="J32" s="157"/>
      <c r="K32" s="214"/>
      <c r="L32" s="215"/>
      <c r="M32" s="216">
        <f>SUM(M21:M30)</f>
        <v>0</v>
      </c>
      <c r="N32" s="217"/>
      <c r="O32" s="217"/>
      <c r="P32" s="217"/>
      <c r="Q32" s="217"/>
      <c r="R32" s="218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93">
        <f t="shared" si="13"/>
        <v>29</v>
      </c>
      <c r="BB32" s="31">
        <f t="shared" si="36"/>
        <v>1.013888889</v>
      </c>
      <c r="BC32" s="94">
        <f t="shared" si="14"/>
        <v>29</v>
      </c>
      <c r="BD32" s="31">
        <f t="shared" si="37"/>
        <v>1.013888889</v>
      </c>
      <c r="BE32" s="95">
        <f t="shared" si="15"/>
        <v>1.013888889</v>
      </c>
      <c r="BF32" s="93" t="str">
        <f t="shared" si="16"/>
        <v/>
      </c>
      <c r="BG32" s="31" t="str">
        <f t="shared" si="54"/>
        <v/>
      </c>
      <c r="BH32" s="95" t="str">
        <f t="shared" si="17"/>
        <v/>
      </c>
      <c r="BI32" s="93" t="str">
        <f t="shared" si="18"/>
        <v/>
      </c>
      <c r="BJ32" s="31" t="str">
        <f t="shared" si="38"/>
        <v/>
      </c>
      <c r="BK32" s="95" t="str">
        <f t="shared" si="19"/>
        <v/>
      </c>
      <c r="BL32" s="93" t="str">
        <f t="shared" si="20"/>
        <v/>
      </c>
      <c r="BM32" s="31" t="str">
        <f t="shared" si="39"/>
        <v/>
      </c>
      <c r="BN32" s="95" t="str">
        <f t="shared" si="21"/>
        <v/>
      </c>
      <c r="BO32" s="93">
        <f t="shared" si="22"/>
        <v>29</v>
      </c>
      <c r="BP32" s="31">
        <f t="shared" si="40"/>
        <v>1.013888889</v>
      </c>
      <c r="BQ32" s="93" t="str">
        <f t="shared" si="23"/>
        <v/>
      </c>
      <c r="BR32" s="31" t="str">
        <f t="shared" si="41"/>
        <v/>
      </c>
      <c r="BS32" s="93" t="str">
        <f t="shared" si="24"/>
        <v/>
      </c>
      <c r="BT32" s="31" t="str">
        <f t="shared" si="42"/>
        <v/>
      </c>
      <c r="BU32" s="93" t="str">
        <f t="shared" si="25"/>
        <v/>
      </c>
      <c r="BV32" s="31" t="str">
        <f t="shared" si="43"/>
        <v/>
      </c>
      <c r="BW32" s="93" t="str">
        <f t="shared" si="26"/>
        <v/>
      </c>
      <c r="BX32" s="31" t="str">
        <f t="shared" si="44"/>
        <v/>
      </c>
      <c r="BY32" s="93" t="str">
        <f t="shared" si="27"/>
        <v/>
      </c>
      <c r="BZ32" s="31" t="str">
        <f t="shared" si="45"/>
        <v/>
      </c>
      <c r="CA32" s="93" t="str">
        <f t="shared" si="28"/>
        <v/>
      </c>
      <c r="CB32" s="31" t="str">
        <f t="shared" si="46"/>
        <v/>
      </c>
      <c r="CC32" s="93" t="str">
        <f t="shared" si="29"/>
        <v/>
      </c>
      <c r="CD32" s="31" t="str">
        <f t="shared" si="47"/>
        <v/>
      </c>
      <c r="CE32" s="93">
        <f t="shared" si="30"/>
        <v>29</v>
      </c>
      <c r="CF32" s="31">
        <f t="shared" si="48"/>
        <v>1.013888889</v>
      </c>
      <c r="CG32" s="93">
        <f t="shared" si="31"/>
        <v>29</v>
      </c>
      <c r="CH32" s="31">
        <f t="shared" si="49"/>
        <v>1.013888889</v>
      </c>
      <c r="CI32" s="93" t="str">
        <f t="shared" si="32"/>
        <v/>
      </c>
      <c r="CJ32" s="31" t="str">
        <f t="shared" si="50"/>
        <v/>
      </c>
      <c r="CK32" s="93" t="str">
        <f t="shared" si="33"/>
        <v/>
      </c>
      <c r="CL32" s="31" t="str">
        <f t="shared" si="51"/>
        <v/>
      </c>
      <c r="CM32" s="93" t="str">
        <f t="shared" si="34"/>
        <v/>
      </c>
      <c r="CN32" s="31" t="str">
        <f t="shared" si="52"/>
        <v/>
      </c>
      <c r="CO32" s="93" t="str">
        <f t="shared" si="35"/>
        <v/>
      </c>
      <c r="CP32" s="31" t="str">
        <f t="shared" si="53"/>
        <v/>
      </c>
      <c r="CQ32" s="26"/>
      <c r="CR32" s="32"/>
      <c r="CS32" s="26"/>
      <c r="CT32" s="26"/>
      <c r="CU32" s="26"/>
      <c r="CV32" s="32"/>
      <c r="CW32" s="26"/>
      <c r="CX32" s="26"/>
      <c r="CY32" s="26"/>
      <c r="CZ32" s="26"/>
    </row>
    <row r="33" ht="15.75" customHeight="1">
      <c r="A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93">
        <f t="shared" si="13"/>
        <v>30</v>
      </c>
      <c r="BB33" s="31">
        <f t="shared" si="36"/>
        <v>1.017361111</v>
      </c>
      <c r="BC33" s="94">
        <f t="shared" si="14"/>
        <v>30</v>
      </c>
      <c r="BD33" s="31">
        <f t="shared" si="37"/>
        <v>1.017361111</v>
      </c>
      <c r="BE33" s="95">
        <f t="shared" si="15"/>
        <v>1.017361111</v>
      </c>
      <c r="BF33" s="93" t="str">
        <f t="shared" si="16"/>
        <v/>
      </c>
      <c r="BG33" s="31" t="str">
        <f t="shared" si="54"/>
        <v/>
      </c>
      <c r="BH33" s="95" t="str">
        <f t="shared" si="17"/>
        <v/>
      </c>
      <c r="BI33" s="93" t="str">
        <f t="shared" si="18"/>
        <v/>
      </c>
      <c r="BJ33" s="31" t="str">
        <f t="shared" si="38"/>
        <v/>
      </c>
      <c r="BK33" s="95" t="str">
        <f t="shared" si="19"/>
        <v/>
      </c>
      <c r="BL33" s="93" t="str">
        <f t="shared" si="20"/>
        <v/>
      </c>
      <c r="BM33" s="31" t="str">
        <f t="shared" si="39"/>
        <v/>
      </c>
      <c r="BN33" s="95" t="str">
        <f t="shared" si="21"/>
        <v/>
      </c>
      <c r="BO33" s="93">
        <f t="shared" si="22"/>
        <v>30</v>
      </c>
      <c r="BP33" s="31">
        <f t="shared" si="40"/>
        <v>1.017361111</v>
      </c>
      <c r="BQ33" s="93" t="str">
        <f t="shared" si="23"/>
        <v/>
      </c>
      <c r="BR33" s="31" t="str">
        <f t="shared" si="41"/>
        <v/>
      </c>
      <c r="BS33" s="93" t="str">
        <f t="shared" si="24"/>
        <v/>
      </c>
      <c r="BT33" s="31" t="str">
        <f t="shared" si="42"/>
        <v/>
      </c>
      <c r="BU33" s="93" t="str">
        <f t="shared" si="25"/>
        <v/>
      </c>
      <c r="BV33" s="31" t="str">
        <f t="shared" si="43"/>
        <v/>
      </c>
      <c r="BW33" s="93" t="str">
        <f t="shared" si="26"/>
        <v/>
      </c>
      <c r="BX33" s="31" t="str">
        <f t="shared" si="44"/>
        <v/>
      </c>
      <c r="BY33" s="93" t="str">
        <f t="shared" si="27"/>
        <v/>
      </c>
      <c r="BZ33" s="31" t="str">
        <f t="shared" si="45"/>
        <v/>
      </c>
      <c r="CA33" s="93" t="str">
        <f t="shared" si="28"/>
        <v/>
      </c>
      <c r="CB33" s="31" t="str">
        <f t="shared" si="46"/>
        <v/>
      </c>
      <c r="CC33" s="93" t="str">
        <f t="shared" si="29"/>
        <v/>
      </c>
      <c r="CD33" s="31" t="str">
        <f t="shared" si="47"/>
        <v/>
      </c>
      <c r="CE33" s="93">
        <f t="shared" si="30"/>
        <v>30</v>
      </c>
      <c r="CF33" s="31">
        <f t="shared" si="48"/>
        <v>1.017361111</v>
      </c>
      <c r="CG33" s="93">
        <f t="shared" si="31"/>
        <v>30</v>
      </c>
      <c r="CH33" s="31">
        <f t="shared" si="49"/>
        <v>1.017361111</v>
      </c>
      <c r="CI33" s="93" t="str">
        <f t="shared" si="32"/>
        <v/>
      </c>
      <c r="CJ33" s="31" t="str">
        <f t="shared" si="50"/>
        <v/>
      </c>
      <c r="CK33" s="93" t="str">
        <f t="shared" si="33"/>
        <v/>
      </c>
      <c r="CL33" s="31" t="str">
        <f t="shared" si="51"/>
        <v/>
      </c>
      <c r="CM33" s="93" t="str">
        <f t="shared" si="34"/>
        <v/>
      </c>
      <c r="CN33" s="31" t="str">
        <f t="shared" si="52"/>
        <v/>
      </c>
      <c r="CO33" s="93" t="str">
        <f t="shared" si="35"/>
        <v/>
      </c>
      <c r="CP33" s="31" t="str">
        <f t="shared" si="53"/>
        <v/>
      </c>
      <c r="CQ33" s="26"/>
      <c r="CR33" s="32"/>
      <c r="CS33" s="26"/>
      <c r="CT33" s="26"/>
      <c r="CU33" s="26"/>
      <c r="CV33" s="32"/>
      <c r="CW33" s="26"/>
      <c r="CX33" s="26"/>
      <c r="CY33" s="26"/>
      <c r="CZ33" s="26"/>
    </row>
    <row r="34" ht="53.25" customHeight="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19"/>
      <c r="O34" s="219"/>
      <c r="P34" s="219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93">
        <f t="shared" si="13"/>
        <v>31</v>
      </c>
      <c r="BB34" s="31">
        <f t="shared" si="36"/>
        <v>1.020833333</v>
      </c>
      <c r="BC34" s="94">
        <f t="shared" si="14"/>
        <v>31</v>
      </c>
      <c r="BD34" s="31">
        <f t="shared" si="37"/>
        <v>1.020833333</v>
      </c>
      <c r="BE34" s="95">
        <f t="shared" si="15"/>
        <v>1.020833333</v>
      </c>
      <c r="BF34" s="93" t="str">
        <f t="shared" si="16"/>
        <v/>
      </c>
      <c r="BG34" s="31" t="str">
        <f t="shared" si="54"/>
        <v/>
      </c>
      <c r="BH34" s="95" t="str">
        <f t="shared" si="17"/>
        <v/>
      </c>
      <c r="BI34" s="93" t="str">
        <f t="shared" si="18"/>
        <v/>
      </c>
      <c r="BJ34" s="31" t="str">
        <f t="shared" si="38"/>
        <v/>
      </c>
      <c r="BK34" s="95" t="str">
        <f t="shared" si="19"/>
        <v/>
      </c>
      <c r="BL34" s="93" t="str">
        <f t="shared" si="20"/>
        <v/>
      </c>
      <c r="BM34" s="31" t="str">
        <f t="shared" si="39"/>
        <v/>
      </c>
      <c r="BN34" s="95" t="str">
        <f t="shared" si="21"/>
        <v/>
      </c>
      <c r="BO34" s="93">
        <f t="shared" si="22"/>
        <v>31</v>
      </c>
      <c r="BP34" s="31">
        <f t="shared" si="40"/>
        <v>1.020833333</v>
      </c>
      <c r="BQ34" s="93" t="str">
        <f t="shared" si="23"/>
        <v/>
      </c>
      <c r="BR34" s="31" t="str">
        <f t="shared" si="41"/>
        <v/>
      </c>
      <c r="BS34" s="93" t="str">
        <f t="shared" si="24"/>
        <v/>
      </c>
      <c r="BT34" s="31" t="str">
        <f t="shared" si="42"/>
        <v/>
      </c>
      <c r="BU34" s="93" t="str">
        <f t="shared" si="25"/>
        <v/>
      </c>
      <c r="BV34" s="31" t="str">
        <f t="shared" si="43"/>
        <v/>
      </c>
      <c r="BW34" s="93" t="str">
        <f t="shared" si="26"/>
        <v/>
      </c>
      <c r="BX34" s="31" t="str">
        <f t="shared" si="44"/>
        <v/>
      </c>
      <c r="BY34" s="93" t="str">
        <f t="shared" si="27"/>
        <v/>
      </c>
      <c r="BZ34" s="31" t="str">
        <f t="shared" si="45"/>
        <v/>
      </c>
      <c r="CA34" s="93" t="str">
        <f t="shared" si="28"/>
        <v/>
      </c>
      <c r="CB34" s="31" t="str">
        <f t="shared" si="46"/>
        <v/>
      </c>
      <c r="CC34" s="93" t="str">
        <f t="shared" si="29"/>
        <v/>
      </c>
      <c r="CD34" s="31" t="str">
        <f t="shared" si="47"/>
        <v/>
      </c>
      <c r="CE34" s="93">
        <f t="shared" si="30"/>
        <v>31</v>
      </c>
      <c r="CF34" s="31">
        <f t="shared" si="48"/>
        <v>1.020833333</v>
      </c>
      <c r="CG34" s="93">
        <f t="shared" si="31"/>
        <v>31</v>
      </c>
      <c r="CH34" s="31">
        <f t="shared" si="49"/>
        <v>1.020833333</v>
      </c>
      <c r="CI34" s="93" t="str">
        <f t="shared" si="32"/>
        <v/>
      </c>
      <c r="CJ34" s="31" t="str">
        <f t="shared" si="50"/>
        <v/>
      </c>
      <c r="CK34" s="93" t="str">
        <f t="shared" si="33"/>
        <v/>
      </c>
      <c r="CL34" s="31" t="str">
        <f t="shared" si="51"/>
        <v/>
      </c>
      <c r="CM34" s="93" t="str">
        <f t="shared" si="34"/>
        <v/>
      </c>
      <c r="CN34" s="31" t="str">
        <f t="shared" si="52"/>
        <v/>
      </c>
      <c r="CO34" s="93" t="str">
        <f t="shared" si="35"/>
        <v/>
      </c>
      <c r="CP34" s="31" t="str">
        <f t="shared" si="53"/>
        <v/>
      </c>
      <c r="CQ34" s="26"/>
      <c r="CR34" s="32"/>
      <c r="CS34" s="26"/>
      <c r="CT34" s="26"/>
      <c r="CU34" s="26"/>
      <c r="CV34" s="32"/>
      <c r="CW34" s="26"/>
      <c r="CX34" s="26"/>
      <c r="CY34" s="26"/>
      <c r="CZ34" s="26"/>
    </row>
    <row r="35" ht="15.75" customHeight="1">
      <c r="A35" s="26" t="s">
        <v>25</v>
      </c>
      <c r="B35" s="199" t="s">
        <v>101</v>
      </c>
      <c r="C35" s="199" t="s">
        <v>102</v>
      </c>
      <c r="D35" s="199" t="s">
        <v>103</v>
      </c>
      <c r="E35" s="199" t="s">
        <v>104</v>
      </c>
      <c r="F35" s="199" t="s">
        <v>105</v>
      </c>
      <c r="G35" s="199" t="s">
        <v>106</v>
      </c>
      <c r="H35" s="199" t="s">
        <v>107</v>
      </c>
      <c r="I35" s="199" t="s">
        <v>107</v>
      </c>
      <c r="J35" s="199" t="s">
        <v>108</v>
      </c>
      <c r="K35" s="199" t="s">
        <v>109</v>
      </c>
      <c r="L35" s="26"/>
      <c r="M35" s="26"/>
      <c r="N35" s="219"/>
      <c r="O35" s="219"/>
      <c r="P35" s="219"/>
      <c r="Q35" s="26"/>
      <c r="R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93">
        <f t="shared" si="13"/>
        <v>32</v>
      </c>
      <c r="BB35" s="31">
        <f t="shared" si="36"/>
        <v>1.024305556</v>
      </c>
      <c r="BC35" s="94">
        <f t="shared" si="14"/>
        <v>32</v>
      </c>
      <c r="BD35" s="31">
        <f t="shared" si="37"/>
        <v>1.024305556</v>
      </c>
      <c r="BE35" s="95">
        <f t="shared" si="15"/>
        <v>1.024305556</v>
      </c>
      <c r="BF35" s="93" t="str">
        <f t="shared" si="16"/>
        <v/>
      </c>
      <c r="BG35" s="31" t="str">
        <f t="shared" si="54"/>
        <v/>
      </c>
      <c r="BH35" s="95" t="str">
        <f t="shared" si="17"/>
        <v/>
      </c>
      <c r="BI35" s="93" t="str">
        <f t="shared" si="18"/>
        <v/>
      </c>
      <c r="BJ35" s="31" t="str">
        <f t="shared" si="38"/>
        <v/>
      </c>
      <c r="BK35" s="95" t="str">
        <f t="shared" si="19"/>
        <v/>
      </c>
      <c r="BL35" s="93" t="str">
        <f t="shared" si="20"/>
        <v/>
      </c>
      <c r="BM35" s="31" t="str">
        <f t="shared" si="39"/>
        <v/>
      </c>
      <c r="BN35" s="95" t="str">
        <f t="shared" si="21"/>
        <v/>
      </c>
      <c r="BO35" s="93">
        <f t="shared" si="22"/>
        <v>32</v>
      </c>
      <c r="BP35" s="31">
        <f t="shared" si="40"/>
        <v>1.024305556</v>
      </c>
      <c r="BQ35" s="93" t="str">
        <f t="shared" si="23"/>
        <v/>
      </c>
      <c r="BR35" s="31" t="str">
        <f t="shared" si="41"/>
        <v/>
      </c>
      <c r="BS35" s="93" t="str">
        <f t="shared" si="24"/>
        <v/>
      </c>
      <c r="BT35" s="31" t="str">
        <f t="shared" si="42"/>
        <v/>
      </c>
      <c r="BU35" s="93" t="str">
        <f t="shared" si="25"/>
        <v/>
      </c>
      <c r="BV35" s="31" t="str">
        <f t="shared" si="43"/>
        <v/>
      </c>
      <c r="BW35" s="93" t="str">
        <f t="shared" si="26"/>
        <v/>
      </c>
      <c r="BX35" s="31" t="str">
        <f t="shared" si="44"/>
        <v/>
      </c>
      <c r="BY35" s="93" t="str">
        <f t="shared" si="27"/>
        <v/>
      </c>
      <c r="BZ35" s="31" t="str">
        <f t="shared" si="45"/>
        <v/>
      </c>
      <c r="CA35" s="93" t="str">
        <f t="shared" si="28"/>
        <v/>
      </c>
      <c r="CB35" s="31" t="str">
        <f t="shared" si="46"/>
        <v/>
      </c>
      <c r="CC35" s="93" t="str">
        <f t="shared" si="29"/>
        <v/>
      </c>
      <c r="CD35" s="31" t="str">
        <f t="shared" si="47"/>
        <v/>
      </c>
      <c r="CE35" s="93">
        <f t="shared" si="30"/>
        <v>32</v>
      </c>
      <c r="CF35" s="31">
        <f t="shared" si="48"/>
        <v>1.024305556</v>
      </c>
      <c r="CG35" s="93">
        <f t="shared" si="31"/>
        <v>32</v>
      </c>
      <c r="CH35" s="31">
        <f t="shared" si="49"/>
        <v>1.024305556</v>
      </c>
      <c r="CI35" s="93" t="str">
        <f t="shared" si="32"/>
        <v/>
      </c>
      <c r="CJ35" s="31" t="str">
        <f t="shared" si="50"/>
        <v/>
      </c>
      <c r="CK35" s="93" t="str">
        <f t="shared" si="33"/>
        <v/>
      </c>
      <c r="CL35" s="31" t="str">
        <f t="shared" si="51"/>
        <v/>
      </c>
      <c r="CM35" s="93" t="str">
        <f t="shared" si="34"/>
        <v/>
      </c>
      <c r="CN35" s="31" t="str">
        <f t="shared" si="52"/>
        <v/>
      </c>
      <c r="CO35" s="93" t="str">
        <f t="shared" si="35"/>
        <v/>
      </c>
      <c r="CP35" s="31" t="str">
        <f t="shared" si="53"/>
        <v/>
      </c>
      <c r="CQ35" s="26"/>
      <c r="CR35" s="32"/>
      <c r="CS35" s="26"/>
      <c r="CT35" s="26"/>
      <c r="CU35" s="26"/>
      <c r="CV35" s="32"/>
      <c r="CW35" s="26"/>
      <c r="CX35" s="26"/>
      <c r="CY35" s="26"/>
      <c r="CZ35" s="26"/>
    </row>
    <row r="36" ht="15.75" customHeight="1">
      <c r="A36" s="26">
        <v>1.0</v>
      </c>
      <c r="B36" s="220" t="str">
        <f t="shared" ref="B36:B46" si="73">G7</f>
        <v/>
      </c>
      <c r="C36" s="220" t="str">
        <f t="shared" ref="C36:C46" si="74">J7</f>
        <v/>
      </c>
      <c r="D36" s="220" t="str">
        <f t="shared" ref="D36:D46" si="75">M7</f>
        <v/>
      </c>
      <c r="E36" s="220" t="str">
        <f t="shared" ref="E36:E46" si="76">P7</f>
        <v/>
      </c>
      <c r="F36" s="220" t="str">
        <f t="shared" ref="F36:F46" si="77">D7</f>
        <v/>
      </c>
      <c r="G36" s="220" t="str">
        <f t="shared" ref="G36:G46" si="78">S7</f>
        <v/>
      </c>
      <c r="H36" s="220" t="str">
        <f t="shared" ref="H36:H46" si="79">V7</f>
        <v/>
      </c>
      <c r="I36" s="220" t="str">
        <f t="shared" ref="I36:I46" si="80">Y7</f>
        <v/>
      </c>
      <c r="J36" s="220" t="str">
        <f t="shared" ref="J36:J46" si="81">D21</f>
        <v/>
      </c>
      <c r="K36" s="220" t="str">
        <f t="shared" ref="K36:K46" si="82">M21</f>
        <v/>
      </c>
      <c r="L36" s="26"/>
      <c r="M36" s="26"/>
      <c r="N36" s="219"/>
      <c r="O36" s="219"/>
      <c r="P36" s="219"/>
      <c r="Q36" s="26"/>
      <c r="R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93">
        <f t="shared" si="13"/>
        <v>33</v>
      </c>
      <c r="BB36" s="31">
        <f t="shared" si="36"/>
        <v>1.027777778</v>
      </c>
      <c r="BC36" s="94">
        <f t="shared" si="14"/>
        <v>33</v>
      </c>
      <c r="BD36" s="31">
        <f t="shared" si="37"/>
        <v>1.027777778</v>
      </c>
      <c r="BE36" s="95">
        <f t="shared" si="15"/>
        <v>1.027777778</v>
      </c>
      <c r="BF36" s="93" t="str">
        <f t="shared" si="16"/>
        <v/>
      </c>
      <c r="BG36" s="31" t="str">
        <f t="shared" si="54"/>
        <v/>
      </c>
      <c r="BH36" s="95" t="str">
        <f t="shared" si="17"/>
        <v/>
      </c>
      <c r="BI36" s="93" t="str">
        <f t="shared" si="18"/>
        <v/>
      </c>
      <c r="BJ36" s="31" t="str">
        <f t="shared" si="38"/>
        <v/>
      </c>
      <c r="BK36" s="95" t="str">
        <f t="shared" si="19"/>
        <v/>
      </c>
      <c r="BL36" s="93" t="str">
        <f t="shared" si="20"/>
        <v/>
      </c>
      <c r="BM36" s="31" t="str">
        <f t="shared" si="39"/>
        <v/>
      </c>
      <c r="BN36" s="95" t="str">
        <f t="shared" si="21"/>
        <v/>
      </c>
      <c r="BO36" s="93">
        <f t="shared" si="22"/>
        <v>33</v>
      </c>
      <c r="BP36" s="31">
        <f t="shared" si="40"/>
        <v>1.027777778</v>
      </c>
      <c r="BQ36" s="93" t="str">
        <f t="shared" si="23"/>
        <v/>
      </c>
      <c r="BR36" s="31" t="str">
        <f t="shared" si="41"/>
        <v/>
      </c>
      <c r="BS36" s="93" t="str">
        <f t="shared" si="24"/>
        <v/>
      </c>
      <c r="BT36" s="31" t="str">
        <f t="shared" si="42"/>
        <v/>
      </c>
      <c r="BU36" s="93" t="str">
        <f t="shared" si="25"/>
        <v/>
      </c>
      <c r="BV36" s="31" t="str">
        <f t="shared" si="43"/>
        <v/>
      </c>
      <c r="BW36" s="93" t="str">
        <f t="shared" si="26"/>
        <v/>
      </c>
      <c r="BX36" s="31" t="str">
        <f t="shared" si="44"/>
        <v/>
      </c>
      <c r="BY36" s="93" t="str">
        <f t="shared" si="27"/>
        <v/>
      </c>
      <c r="BZ36" s="31" t="str">
        <f t="shared" si="45"/>
        <v/>
      </c>
      <c r="CA36" s="93" t="str">
        <f t="shared" si="28"/>
        <v/>
      </c>
      <c r="CB36" s="31" t="str">
        <f t="shared" si="46"/>
        <v/>
      </c>
      <c r="CC36" s="93" t="str">
        <f t="shared" si="29"/>
        <v/>
      </c>
      <c r="CD36" s="31" t="str">
        <f t="shared" si="47"/>
        <v/>
      </c>
      <c r="CE36" s="93">
        <f t="shared" si="30"/>
        <v>33</v>
      </c>
      <c r="CF36" s="31">
        <f t="shared" si="48"/>
        <v>1.027777778</v>
      </c>
      <c r="CG36" s="93">
        <f t="shared" si="31"/>
        <v>33</v>
      </c>
      <c r="CH36" s="31">
        <f t="shared" si="49"/>
        <v>1.027777778</v>
      </c>
      <c r="CI36" s="93" t="str">
        <f t="shared" si="32"/>
        <v/>
      </c>
      <c r="CJ36" s="31" t="str">
        <f t="shared" si="50"/>
        <v/>
      </c>
      <c r="CK36" s="93" t="str">
        <f t="shared" si="33"/>
        <v/>
      </c>
      <c r="CL36" s="31" t="str">
        <f t="shared" si="51"/>
        <v/>
      </c>
      <c r="CM36" s="93" t="str">
        <f t="shared" si="34"/>
        <v/>
      </c>
      <c r="CN36" s="31" t="str">
        <f t="shared" si="52"/>
        <v/>
      </c>
      <c r="CO36" s="93" t="str">
        <f t="shared" si="35"/>
        <v/>
      </c>
      <c r="CP36" s="31" t="str">
        <f t="shared" si="53"/>
        <v/>
      </c>
      <c r="CQ36" s="26"/>
      <c r="CR36" s="32"/>
      <c r="CS36" s="26"/>
      <c r="CT36" s="26"/>
      <c r="CU36" s="26"/>
      <c r="CV36" s="32"/>
      <c r="CW36" s="26"/>
      <c r="CX36" s="26"/>
      <c r="CY36" s="26"/>
      <c r="CZ36" s="26"/>
    </row>
    <row r="37" ht="15.75" customHeight="1">
      <c r="A37" s="26">
        <v>2.0</v>
      </c>
      <c r="B37" s="220" t="str">
        <f t="shared" si="73"/>
        <v/>
      </c>
      <c r="C37" s="220" t="str">
        <f t="shared" si="74"/>
        <v/>
      </c>
      <c r="D37" s="220" t="str">
        <f t="shared" si="75"/>
        <v/>
      </c>
      <c r="E37" s="220" t="str">
        <f t="shared" si="76"/>
        <v/>
      </c>
      <c r="F37" s="220" t="str">
        <f t="shared" si="77"/>
        <v/>
      </c>
      <c r="G37" s="220" t="str">
        <f t="shared" si="78"/>
        <v/>
      </c>
      <c r="H37" s="220" t="str">
        <f t="shared" si="79"/>
        <v/>
      </c>
      <c r="I37" s="220" t="str">
        <f t="shared" si="80"/>
        <v/>
      </c>
      <c r="J37" s="220" t="str">
        <f t="shared" si="81"/>
        <v/>
      </c>
      <c r="K37" s="220" t="str">
        <f t="shared" si="82"/>
        <v/>
      </c>
      <c r="L37" s="26"/>
      <c r="M37" s="26"/>
      <c r="N37" s="219"/>
      <c r="O37" s="219"/>
      <c r="P37" s="219"/>
      <c r="Q37" s="26"/>
      <c r="R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93">
        <f t="shared" si="13"/>
        <v>34</v>
      </c>
      <c r="BB37" s="31">
        <f t="shared" si="36"/>
        <v>1.03125</v>
      </c>
      <c r="BC37" s="94">
        <f t="shared" si="14"/>
        <v>34</v>
      </c>
      <c r="BD37" s="31">
        <f t="shared" si="37"/>
        <v>1.03125</v>
      </c>
      <c r="BE37" s="95">
        <f t="shared" si="15"/>
        <v>1.03125</v>
      </c>
      <c r="BF37" s="93" t="str">
        <f t="shared" si="16"/>
        <v/>
      </c>
      <c r="BG37" s="31" t="str">
        <f t="shared" si="54"/>
        <v/>
      </c>
      <c r="BH37" s="95" t="str">
        <f t="shared" si="17"/>
        <v/>
      </c>
      <c r="BI37" s="93" t="str">
        <f t="shared" si="18"/>
        <v/>
      </c>
      <c r="BJ37" s="31" t="str">
        <f t="shared" si="38"/>
        <v/>
      </c>
      <c r="BK37" s="95" t="str">
        <f t="shared" si="19"/>
        <v/>
      </c>
      <c r="BL37" s="93" t="str">
        <f t="shared" si="20"/>
        <v/>
      </c>
      <c r="BM37" s="31" t="str">
        <f t="shared" si="39"/>
        <v/>
      </c>
      <c r="BN37" s="95" t="str">
        <f t="shared" si="21"/>
        <v/>
      </c>
      <c r="BO37" s="93">
        <f t="shared" si="22"/>
        <v>34</v>
      </c>
      <c r="BP37" s="31">
        <f t="shared" si="40"/>
        <v>1.03125</v>
      </c>
      <c r="BQ37" s="93" t="str">
        <f t="shared" si="23"/>
        <v/>
      </c>
      <c r="BR37" s="31" t="str">
        <f t="shared" si="41"/>
        <v/>
      </c>
      <c r="BS37" s="93" t="str">
        <f t="shared" si="24"/>
        <v/>
      </c>
      <c r="BT37" s="31" t="str">
        <f t="shared" si="42"/>
        <v/>
      </c>
      <c r="BU37" s="93" t="str">
        <f t="shared" si="25"/>
        <v/>
      </c>
      <c r="BV37" s="31" t="str">
        <f t="shared" si="43"/>
        <v/>
      </c>
      <c r="BW37" s="93" t="str">
        <f t="shared" si="26"/>
        <v/>
      </c>
      <c r="BX37" s="31" t="str">
        <f t="shared" si="44"/>
        <v/>
      </c>
      <c r="BY37" s="93" t="str">
        <f t="shared" si="27"/>
        <v/>
      </c>
      <c r="BZ37" s="31" t="str">
        <f t="shared" si="45"/>
        <v/>
      </c>
      <c r="CA37" s="93" t="str">
        <f t="shared" si="28"/>
        <v/>
      </c>
      <c r="CB37" s="31" t="str">
        <f t="shared" si="46"/>
        <v/>
      </c>
      <c r="CC37" s="93" t="str">
        <f t="shared" si="29"/>
        <v/>
      </c>
      <c r="CD37" s="31" t="str">
        <f t="shared" si="47"/>
        <v/>
      </c>
      <c r="CE37" s="93">
        <f t="shared" si="30"/>
        <v>34</v>
      </c>
      <c r="CF37" s="31">
        <f t="shared" si="48"/>
        <v>1.03125</v>
      </c>
      <c r="CG37" s="93">
        <f t="shared" si="31"/>
        <v>34</v>
      </c>
      <c r="CH37" s="31">
        <f t="shared" si="49"/>
        <v>1.03125</v>
      </c>
      <c r="CI37" s="93" t="str">
        <f t="shared" si="32"/>
        <v/>
      </c>
      <c r="CJ37" s="31" t="str">
        <f t="shared" si="50"/>
        <v/>
      </c>
      <c r="CK37" s="93" t="str">
        <f t="shared" si="33"/>
        <v/>
      </c>
      <c r="CL37" s="31" t="str">
        <f t="shared" si="51"/>
        <v/>
      </c>
      <c r="CM37" s="93" t="str">
        <f t="shared" si="34"/>
        <v/>
      </c>
      <c r="CN37" s="31" t="str">
        <f t="shared" si="52"/>
        <v/>
      </c>
      <c r="CO37" s="93" t="str">
        <f t="shared" si="35"/>
        <v/>
      </c>
      <c r="CP37" s="31" t="str">
        <f t="shared" si="53"/>
        <v/>
      </c>
      <c r="CQ37" s="26"/>
      <c r="CR37" s="32"/>
      <c r="CS37" s="26"/>
      <c r="CT37" s="26"/>
      <c r="CU37" s="26"/>
      <c r="CV37" s="32"/>
      <c r="CW37" s="26"/>
      <c r="CX37" s="26"/>
      <c r="CY37" s="26"/>
      <c r="CZ37" s="26"/>
    </row>
    <row r="38" ht="15.75" customHeight="1">
      <c r="A38" s="26">
        <v>3.0</v>
      </c>
      <c r="B38" s="220" t="str">
        <f t="shared" si="73"/>
        <v/>
      </c>
      <c r="C38" s="220" t="str">
        <f t="shared" si="74"/>
        <v/>
      </c>
      <c r="D38" s="220" t="str">
        <f t="shared" si="75"/>
        <v/>
      </c>
      <c r="E38" s="220" t="str">
        <f t="shared" si="76"/>
        <v/>
      </c>
      <c r="F38" s="220" t="str">
        <f t="shared" si="77"/>
        <v/>
      </c>
      <c r="G38" s="220" t="str">
        <f t="shared" si="78"/>
        <v/>
      </c>
      <c r="H38" s="220" t="str">
        <f t="shared" si="79"/>
        <v/>
      </c>
      <c r="I38" s="220" t="str">
        <f t="shared" si="80"/>
        <v/>
      </c>
      <c r="J38" s="220" t="str">
        <f t="shared" si="81"/>
        <v/>
      </c>
      <c r="K38" s="220" t="str">
        <f t="shared" si="82"/>
        <v/>
      </c>
      <c r="L38" s="26"/>
      <c r="M38" s="26"/>
      <c r="N38" s="219"/>
      <c r="O38" s="219"/>
      <c r="P38" s="219"/>
      <c r="Q38" s="26"/>
      <c r="R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93">
        <f t="shared" si="13"/>
        <v>35</v>
      </c>
      <c r="BB38" s="31">
        <f t="shared" si="36"/>
        <v>1.034722222</v>
      </c>
      <c r="BC38" s="94">
        <f t="shared" si="14"/>
        <v>35</v>
      </c>
      <c r="BD38" s="31">
        <f t="shared" si="37"/>
        <v>1.034722222</v>
      </c>
      <c r="BE38" s="95">
        <f t="shared" si="15"/>
        <v>1.034722222</v>
      </c>
      <c r="BF38" s="93" t="str">
        <f t="shared" si="16"/>
        <v/>
      </c>
      <c r="BG38" s="31" t="str">
        <f t="shared" si="54"/>
        <v/>
      </c>
      <c r="BH38" s="95" t="str">
        <f t="shared" si="17"/>
        <v/>
      </c>
      <c r="BI38" s="93" t="str">
        <f t="shared" si="18"/>
        <v/>
      </c>
      <c r="BJ38" s="31" t="str">
        <f t="shared" si="38"/>
        <v/>
      </c>
      <c r="BK38" s="95" t="str">
        <f t="shared" si="19"/>
        <v/>
      </c>
      <c r="BL38" s="93" t="str">
        <f t="shared" si="20"/>
        <v/>
      </c>
      <c r="BM38" s="31" t="str">
        <f t="shared" si="39"/>
        <v/>
      </c>
      <c r="BN38" s="95" t="str">
        <f t="shared" si="21"/>
        <v/>
      </c>
      <c r="BO38" s="93">
        <f t="shared" si="22"/>
        <v>35</v>
      </c>
      <c r="BP38" s="31">
        <f t="shared" si="40"/>
        <v>1.034722222</v>
      </c>
      <c r="BQ38" s="93" t="str">
        <f t="shared" si="23"/>
        <v/>
      </c>
      <c r="BR38" s="31" t="str">
        <f t="shared" si="41"/>
        <v/>
      </c>
      <c r="BS38" s="93" t="str">
        <f t="shared" si="24"/>
        <v/>
      </c>
      <c r="BT38" s="31" t="str">
        <f t="shared" si="42"/>
        <v/>
      </c>
      <c r="BU38" s="93" t="str">
        <f t="shared" si="25"/>
        <v/>
      </c>
      <c r="BV38" s="31" t="str">
        <f t="shared" si="43"/>
        <v/>
      </c>
      <c r="BW38" s="93" t="str">
        <f t="shared" si="26"/>
        <v/>
      </c>
      <c r="BX38" s="31" t="str">
        <f t="shared" si="44"/>
        <v/>
      </c>
      <c r="BY38" s="93" t="str">
        <f t="shared" si="27"/>
        <v/>
      </c>
      <c r="BZ38" s="31" t="str">
        <f t="shared" si="45"/>
        <v/>
      </c>
      <c r="CA38" s="93" t="str">
        <f t="shared" si="28"/>
        <v/>
      </c>
      <c r="CB38" s="31" t="str">
        <f t="shared" si="46"/>
        <v/>
      </c>
      <c r="CC38" s="93" t="str">
        <f t="shared" si="29"/>
        <v/>
      </c>
      <c r="CD38" s="31" t="str">
        <f t="shared" si="47"/>
        <v/>
      </c>
      <c r="CE38" s="93">
        <f t="shared" si="30"/>
        <v>35</v>
      </c>
      <c r="CF38" s="31">
        <f t="shared" si="48"/>
        <v>1.034722222</v>
      </c>
      <c r="CG38" s="93">
        <f t="shared" si="31"/>
        <v>35</v>
      </c>
      <c r="CH38" s="31">
        <f t="shared" si="49"/>
        <v>1.034722222</v>
      </c>
      <c r="CI38" s="93" t="str">
        <f t="shared" si="32"/>
        <v/>
      </c>
      <c r="CJ38" s="31" t="str">
        <f t="shared" si="50"/>
        <v/>
      </c>
      <c r="CK38" s="93" t="str">
        <f t="shared" si="33"/>
        <v/>
      </c>
      <c r="CL38" s="31" t="str">
        <f t="shared" si="51"/>
        <v/>
      </c>
      <c r="CM38" s="93" t="str">
        <f t="shared" si="34"/>
        <v/>
      </c>
      <c r="CN38" s="31" t="str">
        <f t="shared" si="52"/>
        <v/>
      </c>
      <c r="CO38" s="93" t="str">
        <f t="shared" si="35"/>
        <v/>
      </c>
      <c r="CP38" s="31" t="str">
        <f t="shared" si="53"/>
        <v/>
      </c>
      <c r="CQ38" s="26"/>
      <c r="CR38" s="32"/>
      <c r="CS38" s="26"/>
      <c r="CT38" s="26"/>
      <c r="CU38" s="26"/>
      <c r="CV38" s="32"/>
      <c r="CW38" s="26"/>
      <c r="CX38" s="26"/>
      <c r="CY38" s="26"/>
      <c r="CZ38" s="26"/>
    </row>
    <row r="39" ht="15.75" customHeight="1">
      <c r="A39" s="26">
        <v>4.0</v>
      </c>
      <c r="B39" s="220" t="str">
        <f t="shared" si="73"/>
        <v/>
      </c>
      <c r="C39" s="220" t="str">
        <f t="shared" si="74"/>
        <v/>
      </c>
      <c r="D39" s="220" t="str">
        <f t="shared" si="75"/>
        <v/>
      </c>
      <c r="E39" s="220" t="str">
        <f t="shared" si="76"/>
        <v/>
      </c>
      <c r="F39" s="220" t="str">
        <f t="shared" si="77"/>
        <v/>
      </c>
      <c r="G39" s="220" t="str">
        <f t="shared" si="78"/>
        <v/>
      </c>
      <c r="H39" s="220" t="str">
        <f t="shared" si="79"/>
        <v/>
      </c>
      <c r="I39" s="220" t="str">
        <f t="shared" si="80"/>
        <v/>
      </c>
      <c r="J39" s="220" t="str">
        <f t="shared" si="81"/>
        <v/>
      </c>
      <c r="K39" s="220" t="str">
        <f t="shared" si="82"/>
        <v/>
      </c>
      <c r="L39" s="26"/>
      <c r="M39" s="26"/>
      <c r="N39" s="219"/>
      <c r="O39" s="219"/>
      <c r="P39" s="219"/>
      <c r="Q39" s="26"/>
      <c r="R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93">
        <f t="shared" si="13"/>
        <v>36</v>
      </c>
      <c r="BB39" s="31">
        <f t="shared" si="36"/>
        <v>1.038194444</v>
      </c>
      <c r="BC39" s="94">
        <f t="shared" si="14"/>
        <v>36</v>
      </c>
      <c r="BD39" s="31">
        <f t="shared" si="37"/>
        <v>1.038194444</v>
      </c>
      <c r="BE39" s="95">
        <f t="shared" si="15"/>
        <v>1.038194444</v>
      </c>
      <c r="BF39" s="93" t="str">
        <f t="shared" si="16"/>
        <v/>
      </c>
      <c r="BG39" s="31" t="str">
        <f t="shared" si="54"/>
        <v/>
      </c>
      <c r="BH39" s="95" t="str">
        <f t="shared" si="17"/>
        <v/>
      </c>
      <c r="BI39" s="93" t="str">
        <f t="shared" si="18"/>
        <v/>
      </c>
      <c r="BJ39" s="31" t="str">
        <f t="shared" si="38"/>
        <v/>
      </c>
      <c r="BK39" s="95" t="str">
        <f t="shared" si="19"/>
        <v/>
      </c>
      <c r="BL39" s="93" t="str">
        <f t="shared" si="20"/>
        <v/>
      </c>
      <c r="BM39" s="31" t="str">
        <f t="shared" si="39"/>
        <v/>
      </c>
      <c r="BN39" s="95" t="str">
        <f t="shared" si="21"/>
        <v/>
      </c>
      <c r="BO39" s="93">
        <f t="shared" si="22"/>
        <v>36</v>
      </c>
      <c r="BP39" s="31">
        <f t="shared" si="40"/>
        <v>1.038194444</v>
      </c>
      <c r="BQ39" s="93" t="str">
        <f t="shared" si="23"/>
        <v/>
      </c>
      <c r="BR39" s="31" t="str">
        <f t="shared" si="41"/>
        <v/>
      </c>
      <c r="BS39" s="93" t="str">
        <f t="shared" si="24"/>
        <v/>
      </c>
      <c r="BT39" s="31" t="str">
        <f t="shared" si="42"/>
        <v/>
      </c>
      <c r="BU39" s="93" t="str">
        <f t="shared" si="25"/>
        <v/>
      </c>
      <c r="BV39" s="31" t="str">
        <f t="shared" si="43"/>
        <v/>
      </c>
      <c r="BW39" s="93" t="str">
        <f t="shared" si="26"/>
        <v/>
      </c>
      <c r="BX39" s="31" t="str">
        <f t="shared" si="44"/>
        <v/>
      </c>
      <c r="BY39" s="93" t="str">
        <f t="shared" si="27"/>
        <v/>
      </c>
      <c r="BZ39" s="31" t="str">
        <f t="shared" si="45"/>
        <v/>
      </c>
      <c r="CA39" s="93" t="str">
        <f t="shared" si="28"/>
        <v/>
      </c>
      <c r="CB39" s="31" t="str">
        <f t="shared" si="46"/>
        <v/>
      </c>
      <c r="CC39" s="93" t="str">
        <f t="shared" si="29"/>
        <v/>
      </c>
      <c r="CD39" s="31" t="str">
        <f t="shared" si="47"/>
        <v/>
      </c>
      <c r="CE39" s="93">
        <f t="shared" si="30"/>
        <v>36</v>
      </c>
      <c r="CF39" s="31">
        <f t="shared" si="48"/>
        <v>1.038194444</v>
      </c>
      <c r="CG39" s="93">
        <f t="shared" si="31"/>
        <v>36</v>
      </c>
      <c r="CH39" s="31">
        <f t="shared" si="49"/>
        <v>1.038194444</v>
      </c>
      <c r="CI39" s="93" t="str">
        <f t="shared" si="32"/>
        <v/>
      </c>
      <c r="CJ39" s="31" t="str">
        <f t="shared" si="50"/>
        <v/>
      </c>
      <c r="CK39" s="93" t="str">
        <f t="shared" si="33"/>
        <v/>
      </c>
      <c r="CL39" s="31" t="str">
        <f t="shared" si="51"/>
        <v/>
      </c>
      <c r="CM39" s="93" t="str">
        <f t="shared" si="34"/>
        <v/>
      </c>
      <c r="CN39" s="31" t="str">
        <f t="shared" si="52"/>
        <v/>
      </c>
      <c r="CO39" s="93" t="str">
        <f t="shared" si="35"/>
        <v/>
      </c>
      <c r="CP39" s="31" t="str">
        <f t="shared" si="53"/>
        <v/>
      </c>
      <c r="CQ39" s="26"/>
      <c r="CR39" s="32"/>
      <c r="CS39" s="26"/>
      <c r="CT39" s="26"/>
      <c r="CU39" s="26"/>
      <c r="CV39" s="32"/>
      <c r="CW39" s="26"/>
      <c r="CX39" s="26"/>
      <c r="CY39" s="26"/>
      <c r="CZ39" s="26"/>
    </row>
    <row r="40" ht="15.75" customHeight="1">
      <c r="A40" s="26">
        <v>5.0</v>
      </c>
      <c r="B40" s="220" t="str">
        <f t="shared" si="73"/>
        <v/>
      </c>
      <c r="C40" s="220" t="str">
        <f t="shared" si="74"/>
        <v/>
      </c>
      <c r="D40" s="220" t="str">
        <f t="shared" si="75"/>
        <v/>
      </c>
      <c r="E40" s="220" t="str">
        <f t="shared" si="76"/>
        <v/>
      </c>
      <c r="F40" s="220" t="str">
        <f t="shared" si="77"/>
        <v/>
      </c>
      <c r="G40" s="220" t="str">
        <f t="shared" si="78"/>
        <v/>
      </c>
      <c r="H40" s="220" t="str">
        <f t="shared" si="79"/>
        <v/>
      </c>
      <c r="I40" s="220" t="str">
        <f t="shared" si="80"/>
        <v/>
      </c>
      <c r="J40" s="220" t="str">
        <f t="shared" si="81"/>
        <v/>
      </c>
      <c r="K40" s="220" t="str">
        <f t="shared" si="82"/>
        <v/>
      </c>
      <c r="L40" s="26"/>
      <c r="M40" s="26"/>
      <c r="N40" s="219"/>
      <c r="O40" s="219"/>
      <c r="P40" s="219"/>
      <c r="Q40" s="26"/>
      <c r="R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93">
        <f t="shared" si="13"/>
        <v>37</v>
      </c>
      <c r="BB40" s="31">
        <f t="shared" si="36"/>
        <v>1.041666667</v>
      </c>
      <c r="BC40" s="94">
        <f t="shared" si="14"/>
        <v>37</v>
      </c>
      <c r="BD40" s="31">
        <f t="shared" si="37"/>
        <v>1.041666667</v>
      </c>
      <c r="BE40" s="95">
        <f t="shared" si="15"/>
        <v>1.041666667</v>
      </c>
      <c r="BF40" s="93" t="str">
        <f t="shared" si="16"/>
        <v/>
      </c>
      <c r="BG40" s="31" t="str">
        <f t="shared" si="54"/>
        <v/>
      </c>
      <c r="BH40" s="95" t="str">
        <f t="shared" si="17"/>
        <v/>
      </c>
      <c r="BI40" s="93" t="str">
        <f t="shared" si="18"/>
        <v/>
      </c>
      <c r="BJ40" s="31" t="str">
        <f t="shared" si="38"/>
        <v/>
      </c>
      <c r="BK40" s="95" t="str">
        <f t="shared" si="19"/>
        <v/>
      </c>
      <c r="BL40" s="93" t="str">
        <f t="shared" si="20"/>
        <v/>
      </c>
      <c r="BM40" s="31" t="str">
        <f t="shared" si="39"/>
        <v/>
      </c>
      <c r="BN40" s="95" t="str">
        <f t="shared" si="21"/>
        <v/>
      </c>
      <c r="BO40" s="93">
        <f t="shared" si="22"/>
        <v>37</v>
      </c>
      <c r="BP40" s="31">
        <f t="shared" si="40"/>
        <v>1.041666667</v>
      </c>
      <c r="BQ40" s="93" t="str">
        <f t="shared" si="23"/>
        <v/>
      </c>
      <c r="BR40" s="31" t="str">
        <f t="shared" si="41"/>
        <v/>
      </c>
      <c r="BS40" s="93" t="str">
        <f t="shared" si="24"/>
        <v/>
      </c>
      <c r="BT40" s="31" t="str">
        <f t="shared" si="42"/>
        <v/>
      </c>
      <c r="BU40" s="93" t="str">
        <f t="shared" si="25"/>
        <v/>
      </c>
      <c r="BV40" s="31" t="str">
        <f t="shared" si="43"/>
        <v/>
      </c>
      <c r="BW40" s="93" t="str">
        <f t="shared" si="26"/>
        <v/>
      </c>
      <c r="BX40" s="31" t="str">
        <f t="shared" si="44"/>
        <v/>
      </c>
      <c r="BY40" s="93" t="str">
        <f t="shared" si="27"/>
        <v/>
      </c>
      <c r="BZ40" s="31" t="str">
        <f t="shared" si="45"/>
        <v/>
      </c>
      <c r="CA40" s="93" t="str">
        <f t="shared" si="28"/>
        <v/>
      </c>
      <c r="CB40" s="31" t="str">
        <f t="shared" si="46"/>
        <v/>
      </c>
      <c r="CC40" s="93" t="str">
        <f t="shared" si="29"/>
        <v/>
      </c>
      <c r="CD40" s="31" t="str">
        <f t="shared" si="47"/>
        <v/>
      </c>
      <c r="CE40" s="93">
        <f t="shared" si="30"/>
        <v>37</v>
      </c>
      <c r="CF40" s="31">
        <f t="shared" si="48"/>
        <v>1.041666667</v>
      </c>
      <c r="CG40" s="93">
        <f t="shared" si="31"/>
        <v>37</v>
      </c>
      <c r="CH40" s="31">
        <f t="shared" si="49"/>
        <v>1.041666667</v>
      </c>
      <c r="CI40" s="93" t="str">
        <f t="shared" si="32"/>
        <v/>
      </c>
      <c r="CJ40" s="31" t="str">
        <f t="shared" si="50"/>
        <v/>
      </c>
      <c r="CK40" s="93" t="str">
        <f t="shared" si="33"/>
        <v/>
      </c>
      <c r="CL40" s="31" t="str">
        <f t="shared" si="51"/>
        <v/>
      </c>
      <c r="CM40" s="93" t="str">
        <f t="shared" si="34"/>
        <v/>
      </c>
      <c r="CN40" s="31" t="str">
        <f t="shared" si="52"/>
        <v/>
      </c>
      <c r="CO40" s="93" t="str">
        <f t="shared" si="35"/>
        <v/>
      </c>
      <c r="CP40" s="31" t="str">
        <f t="shared" si="53"/>
        <v/>
      </c>
      <c r="CQ40" s="26"/>
      <c r="CR40" s="32"/>
      <c r="CS40" s="26"/>
      <c r="CT40" s="26"/>
      <c r="CU40" s="26"/>
      <c r="CV40" s="32"/>
      <c r="CW40" s="26"/>
      <c r="CX40" s="26"/>
      <c r="CY40" s="26"/>
      <c r="CZ40" s="26"/>
    </row>
    <row r="41" ht="15.75" customHeight="1">
      <c r="A41" s="26">
        <v>6.0</v>
      </c>
      <c r="B41" s="220" t="str">
        <f t="shared" si="73"/>
        <v/>
      </c>
      <c r="C41" s="220" t="str">
        <f t="shared" si="74"/>
        <v/>
      </c>
      <c r="D41" s="220" t="str">
        <f t="shared" si="75"/>
        <v/>
      </c>
      <c r="E41" s="220" t="str">
        <f t="shared" si="76"/>
        <v/>
      </c>
      <c r="F41" s="220" t="str">
        <f t="shared" si="77"/>
        <v/>
      </c>
      <c r="G41" s="220" t="str">
        <f t="shared" si="78"/>
        <v/>
      </c>
      <c r="H41" s="220" t="str">
        <f t="shared" si="79"/>
        <v/>
      </c>
      <c r="I41" s="220" t="str">
        <f t="shared" si="80"/>
        <v/>
      </c>
      <c r="J41" s="220" t="str">
        <f t="shared" si="81"/>
        <v/>
      </c>
      <c r="K41" s="220" t="str">
        <f t="shared" si="82"/>
        <v/>
      </c>
      <c r="L41" s="26"/>
      <c r="M41" s="26"/>
      <c r="N41" s="219"/>
      <c r="O41" s="219"/>
      <c r="P41" s="219"/>
      <c r="Q41" s="26"/>
      <c r="R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93">
        <f t="shared" si="13"/>
        <v>38</v>
      </c>
      <c r="BB41" s="31">
        <f t="shared" si="36"/>
        <v>1.045138889</v>
      </c>
      <c r="BC41" s="94">
        <f t="shared" si="14"/>
        <v>38</v>
      </c>
      <c r="BD41" s="31">
        <f t="shared" si="37"/>
        <v>1.045138889</v>
      </c>
      <c r="BE41" s="95">
        <f t="shared" si="15"/>
        <v>1.045138889</v>
      </c>
      <c r="BF41" s="93" t="str">
        <f t="shared" si="16"/>
        <v/>
      </c>
      <c r="BG41" s="31" t="str">
        <f t="shared" si="54"/>
        <v/>
      </c>
      <c r="BH41" s="95" t="str">
        <f t="shared" si="17"/>
        <v/>
      </c>
      <c r="BI41" s="93" t="str">
        <f t="shared" si="18"/>
        <v/>
      </c>
      <c r="BJ41" s="31" t="str">
        <f t="shared" si="38"/>
        <v/>
      </c>
      <c r="BK41" s="95" t="str">
        <f t="shared" si="19"/>
        <v/>
      </c>
      <c r="BL41" s="93" t="str">
        <f t="shared" si="20"/>
        <v/>
      </c>
      <c r="BM41" s="31" t="str">
        <f t="shared" si="39"/>
        <v/>
      </c>
      <c r="BN41" s="95" t="str">
        <f t="shared" si="21"/>
        <v/>
      </c>
      <c r="BO41" s="93">
        <f t="shared" si="22"/>
        <v>38</v>
      </c>
      <c r="BP41" s="31">
        <f t="shared" si="40"/>
        <v>1.045138889</v>
      </c>
      <c r="BQ41" s="93" t="str">
        <f t="shared" si="23"/>
        <v/>
      </c>
      <c r="BR41" s="31" t="str">
        <f t="shared" si="41"/>
        <v/>
      </c>
      <c r="BS41" s="93" t="str">
        <f t="shared" si="24"/>
        <v/>
      </c>
      <c r="BT41" s="31" t="str">
        <f t="shared" si="42"/>
        <v/>
      </c>
      <c r="BU41" s="93" t="str">
        <f t="shared" si="25"/>
        <v/>
      </c>
      <c r="BV41" s="31" t="str">
        <f t="shared" si="43"/>
        <v/>
      </c>
      <c r="BW41" s="93" t="str">
        <f t="shared" si="26"/>
        <v/>
      </c>
      <c r="BX41" s="31" t="str">
        <f t="shared" si="44"/>
        <v/>
      </c>
      <c r="BY41" s="93" t="str">
        <f t="shared" si="27"/>
        <v/>
      </c>
      <c r="BZ41" s="31" t="str">
        <f t="shared" si="45"/>
        <v/>
      </c>
      <c r="CA41" s="93" t="str">
        <f t="shared" si="28"/>
        <v/>
      </c>
      <c r="CB41" s="31" t="str">
        <f t="shared" si="46"/>
        <v/>
      </c>
      <c r="CC41" s="93" t="str">
        <f t="shared" si="29"/>
        <v/>
      </c>
      <c r="CD41" s="31" t="str">
        <f t="shared" si="47"/>
        <v/>
      </c>
      <c r="CE41" s="93">
        <f t="shared" si="30"/>
        <v>38</v>
      </c>
      <c r="CF41" s="31">
        <f t="shared" si="48"/>
        <v>1.045138889</v>
      </c>
      <c r="CG41" s="93">
        <f t="shared" si="31"/>
        <v>38</v>
      </c>
      <c r="CH41" s="31">
        <f t="shared" si="49"/>
        <v>1.045138889</v>
      </c>
      <c r="CI41" s="93" t="str">
        <f t="shared" si="32"/>
        <v/>
      </c>
      <c r="CJ41" s="31" t="str">
        <f t="shared" si="50"/>
        <v/>
      </c>
      <c r="CK41" s="93" t="str">
        <f t="shared" si="33"/>
        <v/>
      </c>
      <c r="CL41" s="31" t="str">
        <f t="shared" si="51"/>
        <v/>
      </c>
      <c r="CM41" s="93" t="str">
        <f t="shared" si="34"/>
        <v/>
      </c>
      <c r="CN41" s="31" t="str">
        <f t="shared" si="52"/>
        <v/>
      </c>
      <c r="CO41" s="93" t="str">
        <f t="shared" si="35"/>
        <v/>
      </c>
      <c r="CP41" s="31" t="str">
        <f t="shared" si="53"/>
        <v/>
      </c>
      <c r="CQ41" s="26"/>
      <c r="CR41" s="32"/>
      <c r="CS41" s="26"/>
      <c r="CT41" s="26"/>
      <c r="CU41" s="26"/>
      <c r="CV41" s="32"/>
      <c r="CW41" s="26"/>
      <c r="CX41" s="26"/>
      <c r="CY41" s="26"/>
      <c r="CZ41" s="26"/>
    </row>
    <row r="42" ht="15.75" customHeight="1">
      <c r="A42" s="26">
        <v>7.0</v>
      </c>
      <c r="B42" s="220" t="str">
        <f t="shared" si="73"/>
        <v/>
      </c>
      <c r="C42" s="220" t="str">
        <f t="shared" si="74"/>
        <v/>
      </c>
      <c r="D42" s="220" t="str">
        <f t="shared" si="75"/>
        <v/>
      </c>
      <c r="E42" s="220" t="str">
        <f t="shared" si="76"/>
        <v/>
      </c>
      <c r="F42" s="220" t="str">
        <f t="shared" si="77"/>
        <v/>
      </c>
      <c r="G42" s="220" t="str">
        <f t="shared" si="78"/>
        <v/>
      </c>
      <c r="H42" s="220" t="str">
        <f t="shared" si="79"/>
        <v/>
      </c>
      <c r="I42" s="220" t="str">
        <f t="shared" si="80"/>
        <v/>
      </c>
      <c r="J42" s="220" t="str">
        <f t="shared" si="81"/>
        <v/>
      </c>
      <c r="K42" s="220" t="str">
        <f t="shared" si="82"/>
        <v/>
      </c>
      <c r="L42" s="26"/>
      <c r="M42" s="26"/>
      <c r="N42" s="26"/>
      <c r="O42" s="26"/>
      <c r="P42" s="26"/>
      <c r="Q42" s="26"/>
      <c r="R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93">
        <f t="shared" si="13"/>
        <v>39</v>
      </c>
      <c r="BB42" s="31">
        <f t="shared" si="36"/>
        <v>1.048611111</v>
      </c>
      <c r="BC42" s="94">
        <f t="shared" si="14"/>
        <v>39</v>
      </c>
      <c r="BD42" s="31">
        <f t="shared" si="37"/>
        <v>1.048611111</v>
      </c>
      <c r="BE42" s="95">
        <f t="shared" si="15"/>
        <v>1.048611111</v>
      </c>
      <c r="BF42" s="93" t="str">
        <f t="shared" si="16"/>
        <v/>
      </c>
      <c r="BG42" s="31" t="str">
        <f t="shared" si="54"/>
        <v/>
      </c>
      <c r="BH42" s="95" t="str">
        <f t="shared" si="17"/>
        <v/>
      </c>
      <c r="BI42" s="93" t="str">
        <f t="shared" si="18"/>
        <v/>
      </c>
      <c r="BJ42" s="31" t="str">
        <f t="shared" si="38"/>
        <v/>
      </c>
      <c r="BK42" s="95" t="str">
        <f t="shared" si="19"/>
        <v/>
      </c>
      <c r="BL42" s="93" t="str">
        <f t="shared" si="20"/>
        <v/>
      </c>
      <c r="BM42" s="31" t="str">
        <f t="shared" si="39"/>
        <v/>
      </c>
      <c r="BN42" s="95" t="str">
        <f t="shared" si="21"/>
        <v/>
      </c>
      <c r="BO42" s="93">
        <f t="shared" si="22"/>
        <v>39</v>
      </c>
      <c r="BP42" s="31">
        <f t="shared" si="40"/>
        <v>1.048611111</v>
      </c>
      <c r="BQ42" s="93" t="str">
        <f t="shared" si="23"/>
        <v/>
      </c>
      <c r="BR42" s="31" t="str">
        <f t="shared" si="41"/>
        <v/>
      </c>
      <c r="BS42" s="93" t="str">
        <f t="shared" si="24"/>
        <v/>
      </c>
      <c r="BT42" s="31" t="str">
        <f t="shared" si="42"/>
        <v/>
      </c>
      <c r="BU42" s="93" t="str">
        <f t="shared" si="25"/>
        <v/>
      </c>
      <c r="BV42" s="31" t="str">
        <f t="shared" si="43"/>
        <v/>
      </c>
      <c r="BW42" s="93" t="str">
        <f t="shared" si="26"/>
        <v/>
      </c>
      <c r="BX42" s="31" t="str">
        <f t="shared" si="44"/>
        <v/>
      </c>
      <c r="BY42" s="93" t="str">
        <f t="shared" si="27"/>
        <v/>
      </c>
      <c r="BZ42" s="31" t="str">
        <f t="shared" si="45"/>
        <v/>
      </c>
      <c r="CA42" s="93" t="str">
        <f t="shared" si="28"/>
        <v/>
      </c>
      <c r="CB42" s="31" t="str">
        <f t="shared" si="46"/>
        <v/>
      </c>
      <c r="CC42" s="93" t="str">
        <f t="shared" si="29"/>
        <v/>
      </c>
      <c r="CD42" s="31" t="str">
        <f t="shared" si="47"/>
        <v/>
      </c>
      <c r="CE42" s="93">
        <f t="shared" si="30"/>
        <v>39</v>
      </c>
      <c r="CF42" s="31">
        <f t="shared" si="48"/>
        <v>1.048611111</v>
      </c>
      <c r="CG42" s="93">
        <f t="shared" si="31"/>
        <v>39</v>
      </c>
      <c r="CH42" s="31">
        <f t="shared" si="49"/>
        <v>1.048611111</v>
      </c>
      <c r="CI42" s="93" t="str">
        <f t="shared" si="32"/>
        <v/>
      </c>
      <c r="CJ42" s="31" t="str">
        <f t="shared" si="50"/>
        <v/>
      </c>
      <c r="CK42" s="93" t="str">
        <f t="shared" si="33"/>
        <v/>
      </c>
      <c r="CL42" s="31" t="str">
        <f t="shared" si="51"/>
        <v/>
      </c>
      <c r="CM42" s="93" t="str">
        <f t="shared" si="34"/>
        <v/>
      </c>
      <c r="CN42" s="31" t="str">
        <f t="shared" si="52"/>
        <v/>
      </c>
      <c r="CO42" s="93" t="str">
        <f t="shared" si="35"/>
        <v/>
      </c>
      <c r="CP42" s="31" t="str">
        <f t="shared" si="53"/>
        <v/>
      </c>
      <c r="CQ42" s="26"/>
      <c r="CR42" s="32"/>
      <c r="CS42" s="26"/>
      <c r="CT42" s="26"/>
      <c r="CU42" s="26"/>
      <c r="CV42" s="32"/>
      <c r="CW42" s="26"/>
      <c r="CX42" s="26"/>
      <c r="CY42" s="26"/>
      <c r="CZ42" s="26"/>
    </row>
    <row r="43" ht="15.75" customHeight="1">
      <c r="A43" s="26">
        <v>8.0</v>
      </c>
      <c r="B43" s="220" t="str">
        <f t="shared" si="73"/>
        <v/>
      </c>
      <c r="C43" s="220" t="str">
        <f t="shared" si="74"/>
        <v/>
      </c>
      <c r="D43" s="220" t="str">
        <f t="shared" si="75"/>
        <v/>
      </c>
      <c r="E43" s="220" t="str">
        <f t="shared" si="76"/>
        <v/>
      </c>
      <c r="F43" s="220" t="str">
        <f t="shared" si="77"/>
        <v/>
      </c>
      <c r="G43" s="220" t="str">
        <f t="shared" si="78"/>
        <v/>
      </c>
      <c r="H43" s="220" t="str">
        <f t="shared" si="79"/>
        <v/>
      </c>
      <c r="I43" s="220" t="str">
        <f t="shared" si="80"/>
        <v/>
      </c>
      <c r="J43" s="220" t="str">
        <f t="shared" si="81"/>
        <v/>
      </c>
      <c r="K43" s="220" t="str">
        <f t="shared" si="82"/>
        <v/>
      </c>
      <c r="L43" s="26"/>
      <c r="M43" s="26"/>
      <c r="N43" s="26"/>
      <c r="O43" s="26"/>
      <c r="P43" s="26"/>
      <c r="Q43" s="26"/>
      <c r="R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93">
        <f t="shared" si="13"/>
        <v>40</v>
      </c>
      <c r="BB43" s="31">
        <f t="shared" si="36"/>
        <v>1.052083333</v>
      </c>
      <c r="BC43" s="94">
        <f t="shared" si="14"/>
        <v>40</v>
      </c>
      <c r="BD43" s="31">
        <f t="shared" si="37"/>
        <v>1.052083333</v>
      </c>
      <c r="BE43" s="95">
        <f t="shared" si="15"/>
        <v>1.052083333</v>
      </c>
      <c r="BF43" s="93" t="str">
        <f t="shared" si="16"/>
        <v/>
      </c>
      <c r="BG43" s="31" t="str">
        <f t="shared" si="54"/>
        <v/>
      </c>
      <c r="BH43" s="95" t="str">
        <f t="shared" si="17"/>
        <v/>
      </c>
      <c r="BI43" s="93" t="str">
        <f t="shared" si="18"/>
        <v/>
      </c>
      <c r="BJ43" s="31" t="str">
        <f t="shared" si="38"/>
        <v/>
      </c>
      <c r="BK43" s="95" t="str">
        <f t="shared" si="19"/>
        <v/>
      </c>
      <c r="BL43" s="93" t="str">
        <f t="shared" si="20"/>
        <v/>
      </c>
      <c r="BM43" s="31" t="str">
        <f t="shared" si="39"/>
        <v/>
      </c>
      <c r="BN43" s="95" t="str">
        <f t="shared" si="21"/>
        <v/>
      </c>
      <c r="BO43" s="93">
        <f t="shared" si="22"/>
        <v>40</v>
      </c>
      <c r="BP43" s="31">
        <f t="shared" si="40"/>
        <v>1.052083333</v>
      </c>
      <c r="BQ43" s="93" t="str">
        <f t="shared" si="23"/>
        <v/>
      </c>
      <c r="BR43" s="31" t="str">
        <f t="shared" si="41"/>
        <v/>
      </c>
      <c r="BS43" s="93" t="str">
        <f t="shared" si="24"/>
        <v/>
      </c>
      <c r="BT43" s="31" t="str">
        <f t="shared" si="42"/>
        <v/>
      </c>
      <c r="BU43" s="93" t="str">
        <f t="shared" si="25"/>
        <v/>
      </c>
      <c r="BV43" s="31" t="str">
        <f t="shared" si="43"/>
        <v/>
      </c>
      <c r="BW43" s="93" t="str">
        <f t="shared" si="26"/>
        <v/>
      </c>
      <c r="BX43" s="31" t="str">
        <f t="shared" si="44"/>
        <v/>
      </c>
      <c r="BY43" s="93" t="str">
        <f t="shared" si="27"/>
        <v/>
      </c>
      <c r="BZ43" s="31" t="str">
        <f t="shared" si="45"/>
        <v/>
      </c>
      <c r="CA43" s="93" t="str">
        <f t="shared" si="28"/>
        <v/>
      </c>
      <c r="CB43" s="31" t="str">
        <f t="shared" si="46"/>
        <v/>
      </c>
      <c r="CC43" s="93" t="str">
        <f t="shared" si="29"/>
        <v/>
      </c>
      <c r="CD43" s="31" t="str">
        <f t="shared" si="47"/>
        <v/>
      </c>
      <c r="CE43" s="93">
        <f t="shared" si="30"/>
        <v>40</v>
      </c>
      <c r="CF43" s="31">
        <f t="shared" si="48"/>
        <v>1.052083333</v>
      </c>
      <c r="CG43" s="93">
        <f t="shared" si="31"/>
        <v>40</v>
      </c>
      <c r="CH43" s="31">
        <f t="shared" si="49"/>
        <v>1.052083333</v>
      </c>
      <c r="CI43" s="93" t="str">
        <f t="shared" si="32"/>
        <v/>
      </c>
      <c r="CJ43" s="31" t="str">
        <f t="shared" si="50"/>
        <v/>
      </c>
      <c r="CK43" s="93" t="str">
        <f t="shared" si="33"/>
        <v/>
      </c>
      <c r="CL43" s="31" t="str">
        <f t="shared" si="51"/>
        <v/>
      </c>
      <c r="CM43" s="93" t="str">
        <f t="shared" si="34"/>
        <v/>
      </c>
      <c r="CN43" s="31" t="str">
        <f t="shared" si="52"/>
        <v/>
      </c>
      <c r="CO43" s="93" t="str">
        <f t="shared" si="35"/>
        <v/>
      </c>
      <c r="CP43" s="31" t="str">
        <f t="shared" si="53"/>
        <v/>
      </c>
      <c r="CQ43" s="26"/>
      <c r="CR43" s="32"/>
      <c r="CS43" s="26"/>
      <c r="CT43" s="26"/>
      <c r="CU43" s="26"/>
      <c r="CV43" s="32"/>
      <c r="CW43" s="26"/>
      <c r="CX43" s="26"/>
      <c r="CY43" s="26"/>
      <c r="CZ43" s="26"/>
    </row>
    <row r="44" ht="15.75" customHeight="1">
      <c r="A44" s="26">
        <v>9.0</v>
      </c>
      <c r="B44" s="220" t="str">
        <f t="shared" si="73"/>
        <v/>
      </c>
      <c r="C44" s="220" t="str">
        <f t="shared" si="74"/>
        <v/>
      </c>
      <c r="D44" s="220" t="str">
        <f t="shared" si="75"/>
        <v/>
      </c>
      <c r="E44" s="220" t="str">
        <f t="shared" si="76"/>
        <v/>
      </c>
      <c r="F44" s="220" t="str">
        <f t="shared" si="77"/>
        <v/>
      </c>
      <c r="G44" s="220" t="str">
        <f t="shared" si="78"/>
        <v/>
      </c>
      <c r="H44" s="220" t="str">
        <f t="shared" si="79"/>
        <v/>
      </c>
      <c r="I44" s="220" t="str">
        <f t="shared" si="80"/>
        <v/>
      </c>
      <c r="J44" s="220" t="str">
        <f t="shared" si="81"/>
        <v/>
      </c>
      <c r="K44" s="220" t="str">
        <f t="shared" si="82"/>
        <v/>
      </c>
      <c r="L44" s="26"/>
      <c r="M44" s="26"/>
      <c r="N44" s="26"/>
      <c r="O44" s="26"/>
      <c r="P44" s="26"/>
      <c r="Q44" s="26"/>
      <c r="R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93">
        <f t="shared" si="13"/>
        <v>41</v>
      </c>
      <c r="BB44" s="31">
        <f t="shared" si="36"/>
        <v>1.055555556</v>
      </c>
      <c r="BC44" s="94">
        <f t="shared" si="14"/>
        <v>41</v>
      </c>
      <c r="BD44" s="31">
        <f t="shared" si="37"/>
        <v>1.055555556</v>
      </c>
      <c r="BE44" s="95">
        <f t="shared" si="15"/>
        <v>1.055555556</v>
      </c>
      <c r="BF44" s="93" t="str">
        <f t="shared" si="16"/>
        <v/>
      </c>
      <c r="BG44" s="31" t="str">
        <f t="shared" si="54"/>
        <v/>
      </c>
      <c r="BH44" s="95" t="str">
        <f t="shared" si="17"/>
        <v/>
      </c>
      <c r="BI44" s="93" t="str">
        <f t="shared" si="18"/>
        <v/>
      </c>
      <c r="BJ44" s="31" t="str">
        <f t="shared" si="38"/>
        <v/>
      </c>
      <c r="BK44" s="95" t="str">
        <f t="shared" si="19"/>
        <v/>
      </c>
      <c r="BL44" s="93" t="str">
        <f t="shared" si="20"/>
        <v/>
      </c>
      <c r="BM44" s="31" t="str">
        <f t="shared" si="39"/>
        <v/>
      </c>
      <c r="BN44" s="95" t="str">
        <f t="shared" si="21"/>
        <v/>
      </c>
      <c r="BO44" s="93">
        <f t="shared" si="22"/>
        <v>41</v>
      </c>
      <c r="BP44" s="31">
        <f t="shared" si="40"/>
        <v>1.055555556</v>
      </c>
      <c r="BQ44" s="93" t="str">
        <f t="shared" si="23"/>
        <v/>
      </c>
      <c r="BR44" s="31" t="str">
        <f t="shared" si="41"/>
        <v/>
      </c>
      <c r="BS44" s="93" t="str">
        <f t="shared" si="24"/>
        <v/>
      </c>
      <c r="BT44" s="31" t="str">
        <f t="shared" si="42"/>
        <v/>
      </c>
      <c r="BU44" s="93" t="str">
        <f t="shared" si="25"/>
        <v/>
      </c>
      <c r="BV44" s="31" t="str">
        <f t="shared" si="43"/>
        <v/>
      </c>
      <c r="BW44" s="93" t="str">
        <f t="shared" si="26"/>
        <v/>
      </c>
      <c r="BX44" s="31" t="str">
        <f t="shared" si="44"/>
        <v/>
      </c>
      <c r="BY44" s="93" t="str">
        <f t="shared" si="27"/>
        <v/>
      </c>
      <c r="BZ44" s="31" t="str">
        <f t="shared" si="45"/>
        <v/>
      </c>
      <c r="CA44" s="93" t="str">
        <f t="shared" si="28"/>
        <v/>
      </c>
      <c r="CB44" s="31" t="str">
        <f t="shared" si="46"/>
        <v/>
      </c>
      <c r="CC44" s="93" t="str">
        <f t="shared" si="29"/>
        <v/>
      </c>
      <c r="CD44" s="31" t="str">
        <f t="shared" si="47"/>
        <v/>
      </c>
      <c r="CE44" s="93">
        <f t="shared" si="30"/>
        <v>41</v>
      </c>
      <c r="CF44" s="31">
        <f t="shared" si="48"/>
        <v>1.055555556</v>
      </c>
      <c r="CG44" s="93">
        <f t="shared" si="31"/>
        <v>41</v>
      </c>
      <c r="CH44" s="31">
        <f t="shared" si="49"/>
        <v>1.055555556</v>
      </c>
      <c r="CI44" s="93" t="str">
        <f t="shared" si="32"/>
        <v/>
      </c>
      <c r="CJ44" s="31" t="str">
        <f t="shared" si="50"/>
        <v/>
      </c>
      <c r="CK44" s="93" t="str">
        <f t="shared" si="33"/>
        <v/>
      </c>
      <c r="CL44" s="31" t="str">
        <f t="shared" si="51"/>
        <v/>
      </c>
      <c r="CM44" s="93" t="str">
        <f t="shared" si="34"/>
        <v/>
      </c>
      <c r="CN44" s="31" t="str">
        <f t="shared" si="52"/>
        <v/>
      </c>
      <c r="CO44" s="93" t="str">
        <f t="shared" si="35"/>
        <v/>
      </c>
      <c r="CP44" s="31" t="str">
        <f t="shared" si="53"/>
        <v/>
      </c>
      <c r="CQ44" s="26"/>
      <c r="CR44" s="32"/>
      <c r="CS44" s="26"/>
      <c r="CT44" s="26"/>
      <c r="CU44" s="26"/>
      <c r="CV44" s="32"/>
      <c r="CW44" s="26"/>
      <c r="CX44" s="26"/>
      <c r="CY44" s="26"/>
      <c r="CZ44" s="26"/>
    </row>
    <row r="45" ht="15.75" customHeight="1">
      <c r="A45" s="26">
        <v>10.0</v>
      </c>
      <c r="B45" s="220" t="str">
        <f t="shared" si="73"/>
        <v/>
      </c>
      <c r="C45" s="220" t="str">
        <f t="shared" si="74"/>
        <v/>
      </c>
      <c r="D45" s="220" t="str">
        <f t="shared" si="75"/>
        <v/>
      </c>
      <c r="E45" s="220" t="str">
        <f t="shared" si="76"/>
        <v/>
      </c>
      <c r="F45" s="220" t="str">
        <f t="shared" si="77"/>
        <v/>
      </c>
      <c r="G45" s="220" t="str">
        <f t="shared" si="78"/>
        <v/>
      </c>
      <c r="H45" s="220" t="str">
        <f t="shared" si="79"/>
        <v/>
      </c>
      <c r="I45" s="220" t="str">
        <f t="shared" si="80"/>
        <v/>
      </c>
      <c r="J45" s="220" t="str">
        <f t="shared" si="81"/>
        <v/>
      </c>
      <c r="K45" s="220" t="str">
        <f t="shared" si="82"/>
        <v/>
      </c>
      <c r="L45" s="26"/>
      <c r="M45" s="26"/>
      <c r="N45" s="26"/>
      <c r="O45" s="26"/>
      <c r="P45" s="26"/>
      <c r="Q45" s="26"/>
      <c r="R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93">
        <f t="shared" si="13"/>
        <v>42</v>
      </c>
      <c r="BB45" s="31">
        <f t="shared" si="36"/>
        <v>1.059027778</v>
      </c>
      <c r="BC45" s="94">
        <f t="shared" si="14"/>
        <v>42</v>
      </c>
      <c r="BD45" s="31">
        <f t="shared" si="37"/>
        <v>1.059027778</v>
      </c>
      <c r="BE45" s="95">
        <f t="shared" si="15"/>
        <v>1.059027778</v>
      </c>
      <c r="BF45" s="93" t="str">
        <f t="shared" si="16"/>
        <v/>
      </c>
      <c r="BG45" s="31" t="str">
        <f t="shared" si="54"/>
        <v/>
      </c>
      <c r="BH45" s="95" t="str">
        <f t="shared" si="17"/>
        <v/>
      </c>
      <c r="BI45" s="93" t="str">
        <f t="shared" si="18"/>
        <v/>
      </c>
      <c r="BJ45" s="31" t="str">
        <f t="shared" si="38"/>
        <v/>
      </c>
      <c r="BK45" s="95" t="str">
        <f t="shared" si="19"/>
        <v/>
      </c>
      <c r="BL45" s="93" t="str">
        <f t="shared" si="20"/>
        <v/>
      </c>
      <c r="BM45" s="31" t="str">
        <f t="shared" si="39"/>
        <v/>
      </c>
      <c r="BN45" s="95" t="str">
        <f t="shared" si="21"/>
        <v/>
      </c>
      <c r="BO45" s="93">
        <f t="shared" si="22"/>
        <v>42</v>
      </c>
      <c r="BP45" s="31">
        <f t="shared" si="40"/>
        <v>1.059027778</v>
      </c>
      <c r="BQ45" s="93" t="str">
        <f t="shared" si="23"/>
        <v/>
      </c>
      <c r="BR45" s="31" t="str">
        <f t="shared" si="41"/>
        <v/>
      </c>
      <c r="BS45" s="93" t="str">
        <f t="shared" si="24"/>
        <v/>
      </c>
      <c r="BT45" s="31" t="str">
        <f t="shared" si="42"/>
        <v/>
      </c>
      <c r="BU45" s="93" t="str">
        <f t="shared" si="25"/>
        <v/>
      </c>
      <c r="BV45" s="31" t="str">
        <f t="shared" si="43"/>
        <v/>
      </c>
      <c r="BW45" s="93" t="str">
        <f t="shared" si="26"/>
        <v/>
      </c>
      <c r="BX45" s="31" t="str">
        <f t="shared" si="44"/>
        <v/>
      </c>
      <c r="BY45" s="93" t="str">
        <f t="shared" si="27"/>
        <v/>
      </c>
      <c r="BZ45" s="31" t="str">
        <f t="shared" si="45"/>
        <v/>
      </c>
      <c r="CA45" s="93" t="str">
        <f t="shared" si="28"/>
        <v/>
      </c>
      <c r="CB45" s="31" t="str">
        <f t="shared" si="46"/>
        <v/>
      </c>
      <c r="CC45" s="93" t="str">
        <f t="shared" si="29"/>
        <v/>
      </c>
      <c r="CD45" s="31" t="str">
        <f t="shared" si="47"/>
        <v/>
      </c>
      <c r="CE45" s="93">
        <f t="shared" si="30"/>
        <v>42</v>
      </c>
      <c r="CF45" s="31">
        <f t="shared" si="48"/>
        <v>1.059027778</v>
      </c>
      <c r="CG45" s="93">
        <f t="shared" si="31"/>
        <v>42</v>
      </c>
      <c r="CH45" s="31">
        <f t="shared" si="49"/>
        <v>1.059027778</v>
      </c>
      <c r="CI45" s="93" t="str">
        <f t="shared" si="32"/>
        <v/>
      </c>
      <c r="CJ45" s="31" t="str">
        <f t="shared" si="50"/>
        <v/>
      </c>
      <c r="CK45" s="93" t="str">
        <f t="shared" si="33"/>
        <v/>
      </c>
      <c r="CL45" s="31" t="str">
        <f t="shared" si="51"/>
        <v/>
      </c>
      <c r="CM45" s="93" t="str">
        <f t="shared" si="34"/>
        <v/>
      </c>
      <c r="CN45" s="31" t="str">
        <f t="shared" si="52"/>
        <v/>
      </c>
      <c r="CO45" s="93" t="str">
        <f t="shared" si="35"/>
        <v/>
      </c>
      <c r="CP45" s="31" t="str">
        <f t="shared" si="53"/>
        <v/>
      </c>
      <c r="CQ45" s="26"/>
      <c r="CR45" s="32"/>
      <c r="CS45" s="26"/>
      <c r="CT45" s="26"/>
      <c r="CU45" s="26"/>
      <c r="CV45" s="32"/>
      <c r="CW45" s="26"/>
      <c r="CX45" s="26"/>
      <c r="CY45" s="26"/>
      <c r="CZ45" s="26"/>
    </row>
    <row r="46" ht="15.75" customHeight="1">
      <c r="A46" s="26">
        <v>11.0</v>
      </c>
      <c r="B46" s="220" t="str">
        <f t="shared" si="73"/>
        <v/>
      </c>
      <c r="C46" s="220" t="str">
        <f t="shared" si="74"/>
        <v/>
      </c>
      <c r="D46" s="220" t="str">
        <f t="shared" si="75"/>
        <v/>
      </c>
      <c r="E46" s="220" t="str">
        <f t="shared" si="76"/>
        <v/>
      </c>
      <c r="F46" s="220" t="str">
        <f t="shared" si="77"/>
        <v/>
      </c>
      <c r="G46" s="220" t="str">
        <f t="shared" si="78"/>
        <v/>
      </c>
      <c r="H46" s="220" t="str">
        <f t="shared" si="79"/>
        <v/>
      </c>
      <c r="I46" s="220" t="str">
        <f t="shared" si="80"/>
        <v/>
      </c>
      <c r="J46" s="220" t="str">
        <f t="shared" si="81"/>
        <v/>
      </c>
      <c r="K46" s="220" t="str">
        <f t="shared" si="82"/>
        <v/>
      </c>
      <c r="L46" s="26"/>
      <c r="M46" s="26"/>
      <c r="N46" s="26"/>
      <c r="O46" s="26"/>
      <c r="P46" s="26"/>
      <c r="Q46" s="26"/>
      <c r="R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93">
        <f t="shared" si="13"/>
        <v>43</v>
      </c>
      <c r="BB46" s="31">
        <f t="shared" si="36"/>
        <v>1.0625</v>
      </c>
      <c r="BC46" s="94">
        <f t="shared" si="14"/>
        <v>43</v>
      </c>
      <c r="BD46" s="31">
        <f t="shared" si="37"/>
        <v>1.0625</v>
      </c>
      <c r="BE46" s="95">
        <f t="shared" si="15"/>
        <v>1.0625</v>
      </c>
      <c r="BF46" s="93" t="str">
        <f t="shared" si="16"/>
        <v/>
      </c>
      <c r="BG46" s="31" t="str">
        <f t="shared" si="54"/>
        <v/>
      </c>
      <c r="BH46" s="95" t="str">
        <f t="shared" si="17"/>
        <v/>
      </c>
      <c r="BI46" s="93" t="str">
        <f t="shared" si="18"/>
        <v/>
      </c>
      <c r="BJ46" s="31" t="str">
        <f t="shared" si="38"/>
        <v/>
      </c>
      <c r="BK46" s="95" t="str">
        <f t="shared" si="19"/>
        <v/>
      </c>
      <c r="BL46" s="93" t="str">
        <f t="shared" si="20"/>
        <v/>
      </c>
      <c r="BM46" s="31" t="str">
        <f t="shared" si="39"/>
        <v/>
      </c>
      <c r="BN46" s="95" t="str">
        <f t="shared" si="21"/>
        <v/>
      </c>
      <c r="BO46" s="93">
        <f t="shared" si="22"/>
        <v>43</v>
      </c>
      <c r="BP46" s="31">
        <f t="shared" si="40"/>
        <v>1.0625</v>
      </c>
      <c r="BQ46" s="93" t="str">
        <f t="shared" si="23"/>
        <v/>
      </c>
      <c r="BR46" s="31" t="str">
        <f t="shared" si="41"/>
        <v/>
      </c>
      <c r="BS46" s="93" t="str">
        <f t="shared" si="24"/>
        <v/>
      </c>
      <c r="BT46" s="31" t="str">
        <f t="shared" si="42"/>
        <v/>
      </c>
      <c r="BU46" s="93" t="str">
        <f t="shared" si="25"/>
        <v/>
      </c>
      <c r="BV46" s="31" t="str">
        <f t="shared" si="43"/>
        <v/>
      </c>
      <c r="BW46" s="93" t="str">
        <f t="shared" si="26"/>
        <v/>
      </c>
      <c r="BX46" s="31" t="str">
        <f t="shared" si="44"/>
        <v/>
      </c>
      <c r="BY46" s="93" t="str">
        <f t="shared" si="27"/>
        <v/>
      </c>
      <c r="BZ46" s="31" t="str">
        <f t="shared" si="45"/>
        <v/>
      </c>
      <c r="CA46" s="93" t="str">
        <f t="shared" si="28"/>
        <v/>
      </c>
      <c r="CB46" s="31" t="str">
        <f t="shared" si="46"/>
        <v/>
      </c>
      <c r="CC46" s="93" t="str">
        <f t="shared" si="29"/>
        <v/>
      </c>
      <c r="CD46" s="31" t="str">
        <f t="shared" si="47"/>
        <v/>
      </c>
      <c r="CE46" s="93">
        <f t="shared" si="30"/>
        <v>43</v>
      </c>
      <c r="CF46" s="31">
        <f t="shared" si="48"/>
        <v>1.0625</v>
      </c>
      <c r="CG46" s="93">
        <f t="shared" si="31"/>
        <v>43</v>
      </c>
      <c r="CH46" s="31">
        <f t="shared" si="49"/>
        <v>1.0625</v>
      </c>
      <c r="CI46" s="93" t="str">
        <f t="shared" si="32"/>
        <v/>
      </c>
      <c r="CJ46" s="31" t="str">
        <f t="shared" si="50"/>
        <v/>
      </c>
      <c r="CK46" s="93" t="str">
        <f t="shared" si="33"/>
        <v/>
      </c>
      <c r="CL46" s="31" t="str">
        <f t="shared" si="51"/>
        <v/>
      </c>
      <c r="CM46" s="93" t="str">
        <f t="shared" si="34"/>
        <v/>
      </c>
      <c r="CN46" s="31" t="str">
        <f t="shared" si="52"/>
        <v/>
      </c>
      <c r="CO46" s="93" t="str">
        <f t="shared" si="35"/>
        <v/>
      </c>
      <c r="CP46" s="31" t="str">
        <f t="shared" si="53"/>
        <v/>
      </c>
      <c r="CQ46" s="26"/>
      <c r="CR46" s="32"/>
      <c r="CS46" s="26"/>
      <c r="CT46" s="26"/>
      <c r="CU46" s="26"/>
      <c r="CV46" s="32"/>
      <c r="CW46" s="26"/>
      <c r="CX46" s="26"/>
      <c r="CY46" s="26"/>
      <c r="CZ46" s="26"/>
    </row>
    <row r="47" ht="15.75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93">
        <f t="shared" si="13"/>
        <v>44</v>
      </c>
      <c r="BB47" s="31">
        <f t="shared" si="36"/>
        <v>1.065972222</v>
      </c>
      <c r="BC47" s="94">
        <f t="shared" si="14"/>
        <v>44</v>
      </c>
      <c r="BD47" s="31">
        <f t="shared" si="37"/>
        <v>1.065972222</v>
      </c>
      <c r="BE47" s="95">
        <f t="shared" si="15"/>
        <v>1.065972222</v>
      </c>
      <c r="BF47" s="93" t="str">
        <f t="shared" si="16"/>
        <v/>
      </c>
      <c r="BG47" s="31" t="str">
        <f t="shared" si="54"/>
        <v/>
      </c>
      <c r="BH47" s="95" t="str">
        <f t="shared" si="17"/>
        <v/>
      </c>
      <c r="BI47" s="93" t="str">
        <f t="shared" si="18"/>
        <v/>
      </c>
      <c r="BJ47" s="31" t="str">
        <f t="shared" si="38"/>
        <v/>
      </c>
      <c r="BK47" s="95" t="str">
        <f t="shared" si="19"/>
        <v/>
      </c>
      <c r="BL47" s="93" t="str">
        <f t="shared" si="20"/>
        <v/>
      </c>
      <c r="BM47" s="31" t="str">
        <f t="shared" si="39"/>
        <v/>
      </c>
      <c r="BN47" s="95" t="str">
        <f t="shared" si="21"/>
        <v/>
      </c>
      <c r="BO47" s="93">
        <f t="shared" si="22"/>
        <v>44</v>
      </c>
      <c r="BP47" s="31">
        <f t="shared" si="40"/>
        <v>1.065972222</v>
      </c>
      <c r="BQ47" s="93" t="str">
        <f t="shared" si="23"/>
        <v/>
      </c>
      <c r="BR47" s="31" t="str">
        <f t="shared" si="41"/>
        <v/>
      </c>
      <c r="BS47" s="93" t="str">
        <f t="shared" si="24"/>
        <v/>
      </c>
      <c r="BT47" s="31" t="str">
        <f t="shared" si="42"/>
        <v/>
      </c>
      <c r="BU47" s="93" t="str">
        <f t="shared" si="25"/>
        <v/>
      </c>
      <c r="BV47" s="31" t="str">
        <f t="shared" si="43"/>
        <v/>
      </c>
      <c r="BW47" s="93" t="str">
        <f t="shared" si="26"/>
        <v/>
      </c>
      <c r="BX47" s="31" t="str">
        <f t="shared" si="44"/>
        <v/>
      </c>
      <c r="BY47" s="93" t="str">
        <f t="shared" si="27"/>
        <v/>
      </c>
      <c r="BZ47" s="31" t="str">
        <f t="shared" si="45"/>
        <v/>
      </c>
      <c r="CA47" s="93" t="str">
        <f t="shared" si="28"/>
        <v/>
      </c>
      <c r="CB47" s="31" t="str">
        <f t="shared" si="46"/>
        <v/>
      </c>
      <c r="CC47" s="93" t="str">
        <f t="shared" si="29"/>
        <v/>
      </c>
      <c r="CD47" s="31" t="str">
        <f t="shared" si="47"/>
        <v/>
      </c>
      <c r="CE47" s="93">
        <f t="shared" si="30"/>
        <v>44</v>
      </c>
      <c r="CF47" s="31">
        <f t="shared" si="48"/>
        <v>1.065972222</v>
      </c>
      <c r="CG47" s="93">
        <f t="shared" si="31"/>
        <v>44</v>
      </c>
      <c r="CH47" s="31">
        <f t="shared" si="49"/>
        <v>1.065972222</v>
      </c>
      <c r="CI47" s="93" t="str">
        <f t="shared" si="32"/>
        <v/>
      </c>
      <c r="CJ47" s="31" t="str">
        <f t="shared" si="50"/>
        <v/>
      </c>
      <c r="CK47" s="93" t="str">
        <f t="shared" si="33"/>
        <v/>
      </c>
      <c r="CL47" s="31" t="str">
        <f t="shared" si="51"/>
        <v/>
      </c>
      <c r="CM47" s="93" t="str">
        <f t="shared" si="34"/>
        <v/>
      </c>
      <c r="CN47" s="31" t="str">
        <f t="shared" si="52"/>
        <v/>
      </c>
      <c r="CO47" s="93" t="str">
        <f t="shared" si="35"/>
        <v/>
      </c>
      <c r="CP47" s="31" t="str">
        <f t="shared" si="53"/>
        <v/>
      </c>
      <c r="CQ47" s="26"/>
      <c r="CR47" s="32"/>
      <c r="CS47" s="26"/>
      <c r="CT47" s="26"/>
      <c r="CU47" s="26"/>
      <c r="CV47" s="32"/>
      <c r="CW47" s="26"/>
      <c r="CX47" s="26"/>
      <c r="CY47" s="26"/>
      <c r="CZ47" s="26"/>
    </row>
    <row r="48" ht="15.7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93">
        <f t="shared" si="13"/>
        <v>45</v>
      </c>
      <c r="BB48" s="31">
        <f t="shared" si="36"/>
        <v>1.069444444</v>
      </c>
      <c r="BC48" s="94">
        <f t="shared" si="14"/>
        <v>45</v>
      </c>
      <c r="BD48" s="31">
        <f t="shared" si="37"/>
        <v>1.069444444</v>
      </c>
      <c r="BE48" s="95">
        <f t="shared" si="15"/>
        <v>1.069444444</v>
      </c>
      <c r="BF48" s="93" t="str">
        <f t="shared" si="16"/>
        <v/>
      </c>
      <c r="BG48" s="31" t="str">
        <f t="shared" si="54"/>
        <v/>
      </c>
      <c r="BH48" s="95" t="str">
        <f t="shared" si="17"/>
        <v/>
      </c>
      <c r="BI48" s="93" t="str">
        <f t="shared" si="18"/>
        <v/>
      </c>
      <c r="BJ48" s="31" t="str">
        <f t="shared" si="38"/>
        <v/>
      </c>
      <c r="BK48" s="95" t="str">
        <f t="shared" si="19"/>
        <v/>
      </c>
      <c r="BL48" s="93" t="str">
        <f t="shared" si="20"/>
        <v/>
      </c>
      <c r="BM48" s="31" t="str">
        <f t="shared" si="39"/>
        <v/>
      </c>
      <c r="BN48" s="95" t="str">
        <f t="shared" si="21"/>
        <v/>
      </c>
      <c r="BO48" s="93">
        <f t="shared" si="22"/>
        <v>45</v>
      </c>
      <c r="BP48" s="31">
        <f t="shared" si="40"/>
        <v>1.069444444</v>
      </c>
      <c r="BQ48" s="93" t="str">
        <f t="shared" si="23"/>
        <v/>
      </c>
      <c r="BR48" s="31" t="str">
        <f t="shared" si="41"/>
        <v/>
      </c>
      <c r="BS48" s="93" t="str">
        <f t="shared" si="24"/>
        <v/>
      </c>
      <c r="BT48" s="31" t="str">
        <f t="shared" si="42"/>
        <v/>
      </c>
      <c r="BU48" s="93" t="str">
        <f t="shared" si="25"/>
        <v/>
      </c>
      <c r="BV48" s="31" t="str">
        <f t="shared" si="43"/>
        <v/>
      </c>
      <c r="BW48" s="93" t="str">
        <f t="shared" si="26"/>
        <v/>
      </c>
      <c r="BX48" s="31" t="str">
        <f t="shared" si="44"/>
        <v/>
      </c>
      <c r="BY48" s="93" t="str">
        <f t="shared" si="27"/>
        <v/>
      </c>
      <c r="BZ48" s="31" t="str">
        <f t="shared" si="45"/>
        <v/>
      </c>
      <c r="CA48" s="93" t="str">
        <f t="shared" si="28"/>
        <v/>
      </c>
      <c r="CB48" s="31" t="str">
        <f t="shared" si="46"/>
        <v/>
      </c>
      <c r="CC48" s="93" t="str">
        <f t="shared" si="29"/>
        <v/>
      </c>
      <c r="CD48" s="31" t="str">
        <f t="shared" si="47"/>
        <v/>
      </c>
      <c r="CE48" s="93">
        <f t="shared" si="30"/>
        <v>45</v>
      </c>
      <c r="CF48" s="31">
        <f t="shared" si="48"/>
        <v>1.069444444</v>
      </c>
      <c r="CG48" s="93">
        <f t="shared" si="31"/>
        <v>45</v>
      </c>
      <c r="CH48" s="31">
        <f t="shared" si="49"/>
        <v>1.069444444</v>
      </c>
      <c r="CI48" s="93" t="str">
        <f t="shared" si="32"/>
        <v/>
      </c>
      <c r="CJ48" s="31" t="str">
        <f t="shared" si="50"/>
        <v/>
      </c>
      <c r="CK48" s="93" t="str">
        <f t="shared" si="33"/>
        <v/>
      </c>
      <c r="CL48" s="31" t="str">
        <f t="shared" si="51"/>
        <v/>
      </c>
      <c r="CM48" s="93" t="str">
        <f t="shared" si="34"/>
        <v/>
      </c>
      <c r="CN48" s="31" t="str">
        <f t="shared" si="52"/>
        <v/>
      </c>
      <c r="CO48" s="93" t="str">
        <f t="shared" si="35"/>
        <v/>
      </c>
      <c r="CP48" s="31" t="str">
        <f t="shared" si="53"/>
        <v/>
      </c>
      <c r="CQ48" s="26"/>
      <c r="CR48" s="32"/>
      <c r="CS48" s="26"/>
      <c r="CT48" s="26"/>
      <c r="CU48" s="26"/>
      <c r="CV48" s="32"/>
      <c r="CW48" s="26"/>
      <c r="CX48" s="26"/>
      <c r="CY48" s="26"/>
      <c r="CZ48" s="26"/>
    </row>
    <row r="49" ht="15.7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93">
        <f t="shared" si="13"/>
        <v>46</v>
      </c>
      <c r="BB49" s="31">
        <f t="shared" si="36"/>
        <v>1.072916667</v>
      </c>
      <c r="BC49" s="94">
        <f t="shared" si="14"/>
        <v>46</v>
      </c>
      <c r="BD49" s="31">
        <f t="shared" si="37"/>
        <v>1.072916667</v>
      </c>
      <c r="BE49" s="95">
        <f t="shared" si="15"/>
        <v>1.072916667</v>
      </c>
      <c r="BF49" s="93" t="str">
        <f t="shared" si="16"/>
        <v/>
      </c>
      <c r="BG49" s="31" t="str">
        <f t="shared" si="54"/>
        <v/>
      </c>
      <c r="BH49" s="95" t="str">
        <f t="shared" si="17"/>
        <v/>
      </c>
      <c r="BI49" s="93" t="str">
        <f t="shared" si="18"/>
        <v/>
      </c>
      <c r="BJ49" s="31" t="str">
        <f t="shared" si="38"/>
        <v/>
      </c>
      <c r="BK49" s="95" t="str">
        <f t="shared" si="19"/>
        <v/>
      </c>
      <c r="BL49" s="93" t="str">
        <f t="shared" si="20"/>
        <v/>
      </c>
      <c r="BM49" s="31" t="str">
        <f t="shared" si="39"/>
        <v/>
      </c>
      <c r="BN49" s="95" t="str">
        <f t="shared" si="21"/>
        <v/>
      </c>
      <c r="BO49" s="93">
        <f t="shared" si="22"/>
        <v>46</v>
      </c>
      <c r="BP49" s="31">
        <f t="shared" si="40"/>
        <v>1.072916667</v>
      </c>
      <c r="BQ49" s="93" t="str">
        <f t="shared" si="23"/>
        <v/>
      </c>
      <c r="BR49" s="31" t="str">
        <f t="shared" si="41"/>
        <v/>
      </c>
      <c r="BS49" s="93" t="str">
        <f t="shared" si="24"/>
        <v/>
      </c>
      <c r="BT49" s="31" t="str">
        <f t="shared" si="42"/>
        <v/>
      </c>
      <c r="BU49" s="93" t="str">
        <f t="shared" si="25"/>
        <v/>
      </c>
      <c r="BV49" s="31" t="str">
        <f t="shared" si="43"/>
        <v/>
      </c>
      <c r="BW49" s="93" t="str">
        <f t="shared" si="26"/>
        <v/>
      </c>
      <c r="BX49" s="31" t="str">
        <f t="shared" si="44"/>
        <v/>
      </c>
      <c r="BY49" s="93" t="str">
        <f t="shared" si="27"/>
        <v/>
      </c>
      <c r="BZ49" s="31" t="str">
        <f t="shared" si="45"/>
        <v/>
      </c>
      <c r="CA49" s="93" t="str">
        <f t="shared" si="28"/>
        <v/>
      </c>
      <c r="CB49" s="31" t="str">
        <f t="shared" si="46"/>
        <v/>
      </c>
      <c r="CC49" s="93" t="str">
        <f t="shared" si="29"/>
        <v/>
      </c>
      <c r="CD49" s="31" t="str">
        <f t="shared" si="47"/>
        <v/>
      </c>
      <c r="CE49" s="93">
        <f t="shared" si="30"/>
        <v>46</v>
      </c>
      <c r="CF49" s="31">
        <f t="shared" si="48"/>
        <v>1.072916667</v>
      </c>
      <c r="CG49" s="93">
        <f t="shared" si="31"/>
        <v>46</v>
      </c>
      <c r="CH49" s="31">
        <f t="shared" si="49"/>
        <v>1.072916667</v>
      </c>
      <c r="CI49" s="93" t="str">
        <f t="shared" si="32"/>
        <v/>
      </c>
      <c r="CJ49" s="31" t="str">
        <f t="shared" si="50"/>
        <v/>
      </c>
      <c r="CK49" s="93" t="str">
        <f t="shared" si="33"/>
        <v/>
      </c>
      <c r="CL49" s="31" t="str">
        <f t="shared" si="51"/>
        <v/>
      </c>
      <c r="CM49" s="93" t="str">
        <f t="shared" si="34"/>
        <v/>
      </c>
      <c r="CN49" s="31" t="str">
        <f t="shared" si="52"/>
        <v/>
      </c>
      <c r="CO49" s="93" t="str">
        <f t="shared" si="35"/>
        <v/>
      </c>
      <c r="CP49" s="31" t="str">
        <f t="shared" si="53"/>
        <v/>
      </c>
      <c r="CQ49" s="26"/>
      <c r="CR49" s="32"/>
      <c r="CS49" s="26"/>
      <c r="CT49" s="26"/>
      <c r="CU49" s="26"/>
      <c r="CV49" s="32"/>
      <c r="CW49" s="26"/>
      <c r="CX49" s="26"/>
      <c r="CY49" s="26"/>
      <c r="CZ49" s="26"/>
    </row>
    <row r="50" ht="15.75" customHeight="1">
      <c r="A50" s="26"/>
      <c r="B50" s="26" t="s">
        <v>110</v>
      </c>
      <c r="C50" s="54" t="s">
        <v>110</v>
      </c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93">
        <f t="shared" si="13"/>
        <v>47</v>
      </c>
      <c r="BB50" s="31">
        <f t="shared" si="36"/>
        <v>1.076388889</v>
      </c>
      <c r="BC50" s="94">
        <f t="shared" si="14"/>
        <v>47</v>
      </c>
      <c r="BD50" s="31">
        <f t="shared" si="37"/>
        <v>1.076388889</v>
      </c>
      <c r="BE50" s="95">
        <f t="shared" si="15"/>
        <v>1.076388889</v>
      </c>
      <c r="BF50" s="93" t="str">
        <f t="shared" si="16"/>
        <v/>
      </c>
      <c r="BG50" s="31" t="str">
        <f t="shared" si="54"/>
        <v/>
      </c>
      <c r="BH50" s="95" t="str">
        <f t="shared" si="17"/>
        <v/>
      </c>
      <c r="BI50" s="93" t="str">
        <f t="shared" si="18"/>
        <v/>
      </c>
      <c r="BJ50" s="31" t="str">
        <f t="shared" si="38"/>
        <v/>
      </c>
      <c r="BK50" s="95" t="str">
        <f t="shared" si="19"/>
        <v/>
      </c>
      <c r="BL50" s="93" t="str">
        <f t="shared" si="20"/>
        <v/>
      </c>
      <c r="BM50" s="31" t="str">
        <f t="shared" si="39"/>
        <v/>
      </c>
      <c r="BN50" s="95" t="str">
        <f t="shared" si="21"/>
        <v/>
      </c>
      <c r="BO50" s="93">
        <f t="shared" si="22"/>
        <v>47</v>
      </c>
      <c r="BP50" s="31">
        <f t="shared" si="40"/>
        <v>1.076388889</v>
      </c>
      <c r="BQ50" s="93" t="str">
        <f t="shared" si="23"/>
        <v/>
      </c>
      <c r="BR50" s="31" t="str">
        <f t="shared" si="41"/>
        <v/>
      </c>
      <c r="BS50" s="93" t="str">
        <f t="shared" si="24"/>
        <v/>
      </c>
      <c r="BT50" s="31" t="str">
        <f t="shared" si="42"/>
        <v/>
      </c>
      <c r="BU50" s="93" t="str">
        <f t="shared" si="25"/>
        <v/>
      </c>
      <c r="BV50" s="31" t="str">
        <f t="shared" si="43"/>
        <v/>
      </c>
      <c r="BW50" s="93" t="str">
        <f t="shared" si="26"/>
        <v/>
      </c>
      <c r="BX50" s="31" t="str">
        <f t="shared" si="44"/>
        <v/>
      </c>
      <c r="BY50" s="93" t="str">
        <f t="shared" si="27"/>
        <v/>
      </c>
      <c r="BZ50" s="31" t="str">
        <f t="shared" si="45"/>
        <v/>
      </c>
      <c r="CA50" s="93" t="str">
        <f t="shared" si="28"/>
        <v/>
      </c>
      <c r="CB50" s="31" t="str">
        <f t="shared" si="46"/>
        <v/>
      </c>
      <c r="CC50" s="93" t="str">
        <f t="shared" si="29"/>
        <v/>
      </c>
      <c r="CD50" s="31" t="str">
        <f t="shared" si="47"/>
        <v/>
      </c>
      <c r="CE50" s="93">
        <f t="shared" si="30"/>
        <v>47</v>
      </c>
      <c r="CF50" s="31">
        <f t="shared" si="48"/>
        <v>1.076388889</v>
      </c>
      <c r="CG50" s="93">
        <f t="shared" si="31"/>
        <v>47</v>
      </c>
      <c r="CH50" s="31">
        <f t="shared" si="49"/>
        <v>1.076388889</v>
      </c>
      <c r="CI50" s="93" t="str">
        <f t="shared" si="32"/>
        <v/>
      </c>
      <c r="CJ50" s="31" t="str">
        <f t="shared" si="50"/>
        <v/>
      </c>
      <c r="CK50" s="93" t="str">
        <f t="shared" si="33"/>
        <v/>
      </c>
      <c r="CL50" s="31" t="str">
        <f t="shared" si="51"/>
        <v/>
      </c>
      <c r="CM50" s="93" t="str">
        <f t="shared" si="34"/>
        <v/>
      </c>
      <c r="CN50" s="31" t="str">
        <f t="shared" si="52"/>
        <v/>
      </c>
      <c r="CO50" s="93" t="str">
        <f t="shared" si="35"/>
        <v/>
      </c>
      <c r="CP50" s="31" t="str">
        <f t="shared" si="53"/>
        <v/>
      </c>
      <c r="CQ50" s="26"/>
      <c r="CR50" s="32"/>
      <c r="CS50" s="26"/>
      <c r="CT50" s="26"/>
      <c r="CU50" s="26"/>
      <c r="CV50" s="32"/>
      <c r="CW50" s="26"/>
      <c r="CX50" s="26"/>
      <c r="CY50" s="26"/>
      <c r="CZ50" s="26"/>
    </row>
    <row r="51" ht="15.75" customHeight="1">
      <c r="A51" s="26"/>
      <c r="B51" s="26"/>
      <c r="C51" s="26"/>
      <c r="D51" s="26" t="str">
        <f t="shared" ref="D51:D87" si="83">IF($C$50="E",E51,IF($C$50="H",S51,"Please Select Language"))</f>
        <v>Please Lines Select Karen</v>
      </c>
      <c r="E51" s="62" t="s">
        <v>111</v>
      </c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221"/>
      <c r="R51" s="26"/>
      <c r="S51" s="62" t="s">
        <v>112</v>
      </c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221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93">
        <f t="shared" si="13"/>
        <v>48</v>
      </c>
      <c r="BB51" s="31">
        <f t="shared" si="36"/>
        <v>1.079861111</v>
      </c>
      <c r="BC51" s="94">
        <f t="shared" si="14"/>
        <v>48</v>
      </c>
      <c r="BD51" s="31">
        <f t="shared" si="37"/>
        <v>1.079861111</v>
      </c>
      <c r="BE51" s="95">
        <f t="shared" si="15"/>
        <v>1.079861111</v>
      </c>
      <c r="BF51" s="93" t="str">
        <f t="shared" si="16"/>
        <v/>
      </c>
      <c r="BG51" s="31" t="str">
        <f t="shared" si="54"/>
        <v/>
      </c>
      <c r="BH51" s="95" t="str">
        <f t="shared" si="17"/>
        <v/>
      </c>
      <c r="BI51" s="93" t="str">
        <f t="shared" si="18"/>
        <v/>
      </c>
      <c r="BJ51" s="31" t="str">
        <f t="shared" si="38"/>
        <v/>
      </c>
      <c r="BK51" s="95" t="str">
        <f t="shared" si="19"/>
        <v/>
      </c>
      <c r="BL51" s="93" t="str">
        <f t="shared" si="20"/>
        <v/>
      </c>
      <c r="BM51" s="31" t="str">
        <f t="shared" si="39"/>
        <v/>
      </c>
      <c r="BN51" s="95" t="str">
        <f t="shared" si="21"/>
        <v/>
      </c>
      <c r="BO51" s="93">
        <f t="shared" si="22"/>
        <v>48</v>
      </c>
      <c r="BP51" s="31">
        <f t="shared" si="40"/>
        <v>1.079861111</v>
      </c>
      <c r="BQ51" s="93" t="str">
        <f t="shared" si="23"/>
        <v/>
      </c>
      <c r="BR51" s="31" t="str">
        <f t="shared" si="41"/>
        <v/>
      </c>
      <c r="BS51" s="93" t="str">
        <f t="shared" si="24"/>
        <v/>
      </c>
      <c r="BT51" s="31" t="str">
        <f t="shared" si="42"/>
        <v/>
      </c>
      <c r="BU51" s="93" t="str">
        <f t="shared" si="25"/>
        <v/>
      </c>
      <c r="BV51" s="31" t="str">
        <f t="shared" si="43"/>
        <v/>
      </c>
      <c r="BW51" s="93" t="str">
        <f t="shared" si="26"/>
        <v/>
      </c>
      <c r="BX51" s="31" t="str">
        <f t="shared" si="44"/>
        <v/>
      </c>
      <c r="BY51" s="93" t="str">
        <f t="shared" si="27"/>
        <v/>
      </c>
      <c r="BZ51" s="31" t="str">
        <f t="shared" si="45"/>
        <v/>
      </c>
      <c r="CA51" s="93" t="str">
        <f t="shared" si="28"/>
        <v/>
      </c>
      <c r="CB51" s="31" t="str">
        <f t="shared" si="46"/>
        <v/>
      </c>
      <c r="CC51" s="93" t="str">
        <f t="shared" si="29"/>
        <v/>
      </c>
      <c r="CD51" s="31" t="str">
        <f t="shared" si="47"/>
        <v/>
      </c>
      <c r="CE51" s="93">
        <f t="shared" si="30"/>
        <v>48</v>
      </c>
      <c r="CF51" s="31">
        <f t="shared" si="48"/>
        <v>1.079861111</v>
      </c>
      <c r="CG51" s="93">
        <f t="shared" si="31"/>
        <v>48</v>
      </c>
      <c r="CH51" s="31">
        <f t="shared" si="49"/>
        <v>1.079861111</v>
      </c>
      <c r="CI51" s="93" t="str">
        <f t="shared" si="32"/>
        <v/>
      </c>
      <c r="CJ51" s="31" t="str">
        <f t="shared" si="50"/>
        <v/>
      </c>
      <c r="CK51" s="93" t="str">
        <f t="shared" si="33"/>
        <v/>
      </c>
      <c r="CL51" s="31" t="str">
        <f t="shared" si="51"/>
        <v/>
      </c>
      <c r="CM51" s="93" t="str">
        <f t="shared" si="34"/>
        <v/>
      </c>
      <c r="CN51" s="31" t="str">
        <f t="shared" si="52"/>
        <v/>
      </c>
      <c r="CO51" s="93" t="str">
        <f t="shared" si="35"/>
        <v/>
      </c>
      <c r="CP51" s="31" t="str">
        <f t="shared" si="53"/>
        <v/>
      </c>
      <c r="CQ51" s="26"/>
      <c r="CR51" s="32"/>
      <c r="CS51" s="26"/>
      <c r="CT51" s="26"/>
      <c r="CU51" s="26"/>
      <c r="CV51" s="32"/>
      <c r="CW51" s="26"/>
      <c r="CX51" s="26"/>
      <c r="CY51" s="26"/>
      <c r="CZ51" s="26"/>
    </row>
    <row r="52" ht="15.75" customHeight="1">
      <c r="A52" s="26"/>
      <c r="B52" s="26"/>
      <c r="C52" s="26"/>
      <c r="D52" s="26" t="str">
        <f t="shared" si="83"/>
        <v>Kya Plant Start Hone Ke Saath, A line Bhi Start Ho Rha Hai?</v>
      </c>
      <c r="E52" s="83" t="s">
        <v>113</v>
      </c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85"/>
      <c r="R52" s="26"/>
      <c r="S52" s="83" t="s">
        <v>114</v>
      </c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85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93">
        <f t="shared" si="13"/>
        <v>49</v>
      </c>
      <c r="BB52" s="31">
        <f t="shared" si="36"/>
        <v>1.083333333</v>
      </c>
      <c r="BC52" s="94">
        <f t="shared" si="14"/>
        <v>49</v>
      </c>
      <c r="BD52" s="31">
        <f t="shared" si="37"/>
        <v>1.083333333</v>
      </c>
      <c r="BE52" s="95">
        <f t="shared" si="15"/>
        <v>1.083333333</v>
      </c>
      <c r="BF52" s="93" t="str">
        <f t="shared" si="16"/>
        <v/>
      </c>
      <c r="BG52" s="31" t="str">
        <f t="shared" si="54"/>
        <v/>
      </c>
      <c r="BH52" s="95" t="str">
        <f t="shared" si="17"/>
        <v/>
      </c>
      <c r="BI52" s="93" t="str">
        <f t="shared" si="18"/>
        <v/>
      </c>
      <c r="BJ52" s="31" t="str">
        <f t="shared" si="38"/>
        <v/>
      </c>
      <c r="BK52" s="95" t="str">
        <f t="shared" si="19"/>
        <v/>
      </c>
      <c r="BL52" s="93" t="str">
        <f t="shared" si="20"/>
        <v/>
      </c>
      <c r="BM52" s="31" t="str">
        <f t="shared" si="39"/>
        <v/>
      </c>
      <c r="BN52" s="95" t="str">
        <f t="shared" si="21"/>
        <v/>
      </c>
      <c r="BO52" s="93">
        <f t="shared" si="22"/>
        <v>49</v>
      </c>
      <c r="BP52" s="31">
        <f t="shared" si="40"/>
        <v>1.083333333</v>
      </c>
      <c r="BQ52" s="93" t="str">
        <f t="shared" si="23"/>
        <v/>
      </c>
      <c r="BR52" s="31" t="str">
        <f t="shared" si="41"/>
        <v/>
      </c>
      <c r="BS52" s="93" t="str">
        <f t="shared" si="24"/>
        <v/>
      </c>
      <c r="BT52" s="31" t="str">
        <f t="shared" si="42"/>
        <v/>
      </c>
      <c r="BU52" s="93" t="str">
        <f t="shared" si="25"/>
        <v/>
      </c>
      <c r="BV52" s="31" t="str">
        <f t="shared" si="43"/>
        <v/>
      </c>
      <c r="BW52" s="93" t="str">
        <f t="shared" si="26"/>
        <v/>
      </c>
      <c r="BX52" s="31" t="str">
        <f t="shared" si="44"/>
        <v/>
      </c>
      <c r="BY52" s="93" t="str">
        <f t="shared" si="27"/>
        <v/>
      </c>
      <c r="BZ52" s="31" t="str">
        <f t="shared" si="45"/>
        <v/>
      </c>
      <c r="CA52" s="93" t="str">
        <f t="shared" si="28"/>
        <v/>
      </c>
      <c r="CB52" s="31" t="str">
        <f t="shared" si="46"/>
        <v/>
      </c>
      <c r="CC52" s="93" t="str">
        <f t="shared" si="29"/>
        <v/>
      </c>
      <c r="CD52" s="31" t="str">
        <f t="shared" si="47"/>
        <v/>
      </c>
      <c r="CE52" s="93">
        <f t="shared" si="30"/>
        <v>49</v>
      </c>
      <c r="CF52" s="31">
        <f t="shared" si="48"/>
        <v>1.083333333</v>
      </c>
      <c r="CG52" s="93">
        <f t="shared" si="31"/>
        <v>49</v>
      </c>
      <c r="CH52" s="31">
        <f t="shared" si="49"/>
        <v>1.083333333</v>
      </c>
      <c r="CI52" s="93" t="str">
        <f t="shared" si="32"/>
        <v/>
      </c>
      <c r="CJ52" s="31" t="str">
        <f t="shared" si="50"/>
        <v/>
      </c>
      <c r="CK52" s="93" t="str">
        <f t="shared" si="33"/>
        <v/>
      </c>
      <c r="CL52" s="31" t="str">
        <f t="shared" si="51"/>
        <v/>
      </c>
      <c r="CM52" s="93" t="str">
        <f t="shared" si="34"/>
        <v/>
      </c>
      <c r="CN52" s="31" t="str">
        <f t="shared" si="52"/>
        <v/>
      </c>
      <c r="CO52" s="93" t="str">
        <f t="shared" si="35"/>
        <v/>
      </c>
      <c r="CP52" s="31" t="str">
        <f t="shared" si="53"/>
        <v/>
      </c>
      <c r="CQ52" s="26"/>
      <c r="CR52" s="32"/>
      <c r="CS52" s="26"/>
      <c r="CT52" s="26"/>
      <c r="CU52" s="26"/>
      <c r="CV52" s="32"/>
      <c r="CW52" s="26"/>
      <c r="CX52" s="26"/>
      <c r="CY52" s="26"/>
      <c r="CZ52" s="26"/>
    </row>
    <row r="53" ht="15.75" customHeight="1">
      <c r="A53" s="26"/>
      <c r="B53" s="26"/>
      <c r="C53" s="26"/>
      <c r="D53" s="26" t="str">
        <f t="shared" si="83"/>
        <v>Kya Plant Start Hone Ke Saath, B line Bhi Start Ho Rha Hai?</v>
      </c>
      <c r="E53" s="83" t="s">
        <v>115</v>
      </c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85"/>
      <c r="R53" s="26"/>
      <c r="S53" s="83" t="s">
        <v>116</v>
      </c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85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93">
        <f t="shared" si="13"/>
        <v>50</v>
      </c>
      <c r="BB53" s="31">
        <f t="shared" si="36"/>
        <v>1.086805556</v>
      </c>
      <c r="BC53" s="94">
        <f t="shared" si="14"/>
        <v>50</v>
      </c>
      <c r="BD53" s="31">
        <f t="shared" si="37"/>
        <v>1.086805556</v>
      </c>
      <c r="BE53" s="95">
        <f t="shared" si="15"/>
        <v>1.086805556</v>
      </c>
      <c r="BF53" s="93" t="str">
        <f t="shared" si="16"/>
        <v/>
      </c>
      <c r="BG53" s="31" t="str">
        <f t="shared" si="54"/>
        <v/>
      </c>
      <c r="BH53" s="95" t="str">
        <f t="shared" si="17"/>
        <v/>
      </c>
      <c r="BI53" s="93" t="str">
        <f t="shared" si="18"/>
        <v/>
      </c>
      <c r="BJ53" s="31" t="str">
        <f t="shared" si="38"/>
        <v/>
      </c>
      <c r="BK53" s="95" t="str">
        <f t="shared" si="19"/>
        <v/>
      </c>
      <c r="BL53" s="93" t="str">
        <f t="shared" si="20"/>
        <v/>
      </c>
      <c r="BM53" s="31" t="str">
        <f t="shared" si="39"/>
        <v/>
      </c>
      <c r="BN53" s="95" t="str">
        <f t="shared" si="21"/>
        <v/>
      </c>
      <c r="BO53" s="93">
        <f t="shared" si="22"/>
        <v>50</v>
      </c>
      <c r="BP53" s="31">
        <f t="shared" si="40"/>
        <v>1.086805556</v>
      </c>
      <c r="BQ53" s="93" t="str">
        <f t="shared" si="23"/>
        <v/>
      </c>
      <c r="BR53" s="31" t="str">
        <f t="shared" si="41"/>
        <v/>
      </c>
      <c r="BS53" s="93" t="str">
        <f t="shared" si="24"/>
        <v/>
      </c>
      <c r="BT53" s="31" t="str">
        <f t="shared" si="42"/>
        <v/>
      </c>
      <c r="BU53" s="93" t="str">
        <f t="shared" si="25"/>
        <v/>
      </c>
      <c r="BV53" s="31" t="str">
        <f t="shared" si="43"/>
        <v/>
      </c>
      <c r="BW53" s="93" t="str">
        <f t="shared" si="26"/>
        <v/>
      </c>
      <c r="BX53" s="31" t="str">
        <f t="shared" si="44"/>
        <v/>
      </c>
      <c r="BY53" s="93" t="str">
        <f t="shared" si="27"/>
        <v/>
      </c>
      <c r="BZ53" s="31" t="str">
        <f t="shared" si="45"/>
        <v/>
      </c>
      <c r="CA53" s="93" t="str">
        <f t="shared" si="28"/>
        <v/>
      </c>
      <c r="CB53" s="31" t="str">
        <f t="shared" si="46"/>
        <v/>
      </c>
      <c r="CC53" s="93" t="str">
        <f t="shared" si="29"/>
        <v/>
      </c>
      <c r="CD53" s="31" t="str">
        <f t="shared" si="47"/>
        <v/>
      </c>
      <c r="CE53" s="93">
        <f t="shared" si="30"/>
        <v>50</v>
      </c>
      <c r="CF53" s="31">
        <f t="shared" si="48"/>
        <v>1.086805556</v>
      </c>
      <c r="CG53" s="93">
        <f t="shared" si="31"/>
        <v>50</v>
      </c>
      <c r="CH53" s="31">
        <f t="shared" si="49"/>
        <v>1.086805556</v>
      </c>
      <c r="CI53" s="93" t="str">
        <f t="shared" si="32"/>
        <v/>
      </c>
      <c r="CJ53" s="31" t="str">
        <f t="shared" si="50"/>
        <v/>
      </c>
      <c r="CK53" s="93" t="str">
        <f t="shared" si="33"/>
        <v/>
      </c>
      <c r="CL53" s="31" t="str">
        <f t="shared" si="51"/>
        <v/>
      </c>
      <c r="CM53" s="93" t="str">
        <f t="shared" si="34"/>
        <v/>
      </c>
      <c r="CN53" s="31" t="str">
        <f t="shared" si="52"/>
        <v/>
      </c>
      <c r="CO53" s="93" t="str">
        <f t="shared" si="35"/>
        <v/>
      </c>
      <c r="CP53" s="31" t="str">
        <f t="shared" si="53"/>
        <v/>
      </c>
      <c r="CQ53" s="26"/>
      <c r="CR53" s="32"/>
      <c r="CS53" s="26"/>
      <c r="CT53" s="26"/>
      <c r="CU53" s="26"/>
      <c r="CV53" s="32"/>
      <c r="CW53" s="26"/>
      <c r="CX53" s="26"/>
      <c r="CY53" s="26"/>
      <c r="CZ53" s="26"/>
    </row>
    <row r="54" ht="15.75" customHeight="1">
      <c r="A54" s="26"/>
      <c r="B54" s="26"/>
      <c r="C54" s="26"/>
      <c r="D54" s="26" t="str">
        <f t="shared" si="83"/>
        <v>Kya Plant Start Hone Ke Saath, C line Bhi Start Ho Rha Hai?</v>
      </c>
      <c r="E54" s="83" t="s">
        <v>117</v>
      </c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85"/>
      <c r="R54" s="26"/>
      <c r="S54" s="83" t="s">
        <v>118</v>
      </c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85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93">
        <f t="shared" si="13"/>
        <v>51</v>
      </c>
      <c r="BB54" s="31">
        <f t="shared" si="36"/>
        <v>1.090277778</v>
      </c>
      <c r="BC54" s="94">
        <f t="shared" si="14"/>
        <v>51</v>
      </c>
      <c r="BD54" s="31">
        <f t="shared" si="37"/>
        <v>1.090277778</v>
      </c>
      <c r="BE54" s="95">
        <f t="shared" si="15"/>
        <v>1.090277778</v>
      </c>
      <c r="BF54" s="93" t="str">
        <f t="shared" si="16"/>
        <v/>
      </c>
      <c r="BG54" s="31" t="str">
        <f t="shared" si="54"/>
        <v/>
      </c>
      <c r="BH54" s="95" t="str">
        <f t="shared" si="17"/>
        <v/>
      </c>
      <c r="BI54" s="93" t="str">
        <f t="shared" si="18"/>
        <v/>
      </c>
      <c r="BJ54" s="31" t="str">
        <f t="shared" si="38"/>
        <v/>
      </c>
      <c r="BK54" s="95" t="str">
        <f t="shared" si="19"/>
        <v/>
      </c>
      <c r="BL54" s="93" t="str">
        <f t="shared" si="20"/>
        <v/>
      </c>
      <c r="BM54" s="31" t="str">
        <f t="shared" si="39"/>
        <v/>
      </c>
      <c r="BN54" s="95" t="str">
        <f t="shared" si="21"/>
        <v/>
      </c>
      <c r="BO54" s="93">
        <f t="shared" si="22"/>
        <v>51</v>
      </c>
      <c r="BP54" s="31">
        <f t="shared" si="40"/>
        <v>1.090277778</v>
      </c>
      <c r="BQ54" s="93" t="str">
        <f t="shared" si="23"/>
        <v/>
      </c>
      <c r="BR54" s="31" t="str">
        <f t="shared" si="41"/>
        <v/>
      </c>
      <c r="BS54" s="93" t="str">
        <f t="shared" si="24"/>
        <v/>
      </c>
      <c r="BT54" s="31" t="str">
        <f t="shared" si="42"/>
        <v/>
      </c>
      <c r="BU54" s="93" t="str">
        <f t="shared" si="25"/>
        <v/>
      </c>
      <c r="BV54" s="31" t="str">
        <f t="shared" si="43"/>
        <v/>
      </c>
      <c r="BW54" s="93" t="str">
        <f t="shared" si="26"/>
        <v/>
      </c>
      <c r="BX54" s="31" t="str">
        <f t="shared" si="44"/>
        <v/>
      </c>
      <c r="BY54" s="93" t="str">
        <f t="shared" si="27"/>
        <v/>
      </c>
      <c r="BZ54" s="31" t="str">
        <f t="shared" si="45"/>
        <v/>
      </c>
      <c r="CA54" s="93" t="str">
        <f t="shared" si="28"/>
        <v/>
      </c>
      <c r="CB54" s="31" t="str">
        <f t="shared" si="46"/>
        <v/>
      </c>
      <c r="CC54" s="93" t="str">
        <f t="shared" si="29"/>
        <v/>
      </c>
      <c r="CD54" s="31" t="str">
        <f t="shared" si="47"/>
        <v/>
      </c>
      <c r="CE54" s="93">
        <f t="shared" si="30"/>
        <v>51</v>
      </c>
      <c r="CF54" s="31">
        <f t="shared" si="48"/>
        <v>1.090277778</v>
      </c>
      <c r="CG54" s="93">
        <f t="shared" si="31"/>
        <v>51</v>
      </c>
      <c r="CH54" s="31">
        <f t="shared" si="49"/>
        <v>1.090277778</v>
      </c>
      <c r="CI54" s="93" t="str">
        <f t="shared" si="32"/>
        <v/>
      </c>
      <c r="CJ54" s="31" t="str">
        <f t="shared" si="50"/>
        <v/>
      </c>
      <c r="CK54" s="93" t="str">
        <f t="shared" si="33"/>
        <v/>
      </c>
      <c r="CL54" s="31" t="str">
        <f t="shared" si="51"/>
        <v/>
      </c>
      <c r="CM54" s="93" t="str">
        <f t="shared" si="34"/>
        <v/>
      </c>
      <c r="CN54" s="31" t="str">
        <f t="shared" si="52"/>
        <v/>
      </c>
      <c r="CO54" s="93" t="str">
        <f t="shared" si="35"/>
        <v/>
      </c>
      <c r="CP54" s="31" t="str">
        <f t="shared" si="53"/>
        <v/>
      </c>
      <c r="CQ54" s="26"/>
      <c r="CR54" s="32"/>
      <c r="CS54" s="26"/>
      <c r="CT54" s="26"/>
      <c r="CU54" s="26"/>
      <c r="CV54" s="32"/>
      <c r="CW54" s="26"/>
      <c r="CX54" s="26"/>
      <c r="CY54" s="26"/>
      <c r="CZ54" s="26"/>
    </row>
    <row r="55" ht="15.75" customHeight="1">
      <c r="A55" s="26"/>
      <c r="B55" s="26"/>
      <c r="C55" s="26"/>
      <c r="D55" s="26" t="str">
        <f t="shared" si="83"/>
        <v>Kya Plant Start Hone Ke Saath, D line Bhi Start Ho Rha Hai?</v>
      </c>
      <c r="E55" s="83" t="s">
        <v>119</v>
      </c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85"/>
      <c r="R55" s="26"/>
      <c r="S55" s="83" t="s">
        <v>120</v>
      </c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85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93">
        <f t="shared" si="13"/>
        <v>52</v>
      </c>
      <c r="BB55" s="31">
        <f t="shared" si="36"/>
        <v>1.09375</v>
      </c>
      <c r="BC55" s="94">
        <f t="shared" si="14"/>
        <v>52</v>
      </c>
      <c r="BD55" s="31">
        <f t="shared" si="37"/>
        <v>1.09375</v>
      </c>
      <c r="BE55" s="95">
        <f t="shared" si="15"/>
        <v>1.09375</v>
      </c>
      <c r="BF55" s="93" t="str">
        <f t="shared" si="16"/>
        <v/>
      </c>
      <c r="BG55" s="31" t="str">
        <f t="shared" si="54"/>
        <v/>
      </c>
      <c r="BH55" s="95" t="str">
        <f t="shared" si="17"/>
        <v/>
      </c>
      <c r="BI55" s="93" t="str">
        <f t="shared" si="18"/>
        <v/>
      </c>
      <c r="BJ55" s="31" t="str">
        <f t="shared" si="38"/>
        <v/>
      </c>
      <c r="BK55" s="95" t="str">
        <f t="shared" si="19"/>
        <v/>
      </c>
      <c r="BL55" s="93" t="str">
        <f t="shared" si="20"/>
        <v/>
      </c>
      <c r="BM55" s="31" t="str">
        <f t="shared" si="39"/>
        <v/>
      </c>
      <c r="BN55" s="95" t="str">
        <f t="shared" si="21"/>
        <v/>
      </c>
      <c r="BO55" s="93">
        <f t="shared" si="22"/>
        <v>52</v>
      </c>
      <c r="BP55" s="31">
        <f t="shared" si="40"/>
        <v>1.09375</v>
      </c>
      <c r="BQ55" s="93" t="str">
        <f t="shared" si="23"/>
        <v/>
      </c>
      <c r="BR55" s="31" t="str">
        <f t="shared" si="41"/>
        <v/>
      </c>
      <c r="BS55" s="93" t="str">
        <f t="shared" si="24"/>
        <v/>
      </c>
      <c r="BT55" s="31" t="str">
        <f t="shared" si="42"/>
        <v/>
      </c>
      <c r="BU55" s="93" t="str">
        <f t="shared" si="25"/>
        <v/>
      </c>
      <c r="BV55" s="31" t="str">
        <f t="shared" si="43"/>
        <v/>
      </c>
      <c r="BW55" s="93" t="str">
        <f t="shared" si="26"/>
        <v/>
      </c>
      <c r="BX55" s="31" t="str">
        <f t="shared" si="44"/>
        <v/>
      </c>
      <c r="BY55" s="93" t="str">
        <f t="shared" si="27"/>
        <v/>
      </c>
      <c r="BZ55" s="31" t="str">
        <f t="shared" si="45"/>
        <v/>
      </c>
      <c r="CA55" s="93" t="str">
        <f t="shared" si="28"/>
        <v/>
      </c>
      <c r="CB55" s="31" t="str">
        <f t="shared" si="46"/>
        <v/>
      </c>
      <c r="CC55" s="93" t="str">
        <f t="shared" si="29"/>
        <v/>
      </c>
      <c r="CD55" s="31" t="str">
        <f t="shared" si="47"/>
        <v/>
      </c>
      <c r="CE55" s="93">
        <f t="shared" si="30"/>
        <v>52</v>
      </c>
      <c r="CF55" s="31">
        <f t="shared" si="48"/>
        <v>1.09375</v>
      </c>
      <c r="CG55" s="93">
        <f t="shared" si="31"/>
        <v>52</v>
      </c>
      <c r="CH55" s="31">
        <f t="shared" si="49"/>
        <v>1.09375</v>
      </c>
      <c r="CI55" s="93" t="str">
        <f t="shared" si="32"/>
        <v/>
      </c>
      <c r="CJ55" s="31" t="str">
        <f t="shared" si="50"/>
        <v/>
      </c>
      <c r="CK55" s="93" t="str">
        <f t="shared" si="33"/>
        <v/>
      </c>
      <c r="CL55" s="31" t="str">
        <f t="shared" si="51"/>
        <v/>
      </c>
      <c r="CM55" s="93" t="str">
        <f t="shared" si="34"/>
        <v/>
      </c>
      <c r="CN55" s="31" t="str">
        <f t="shared" si="52"/>
        <v/>
      </c>
      <c r="CO55" s="93" t="str">
        <f t="shared" si="35"/>
        <v/>
      </c>
      <c r="CP55" s="31" t="str">
        <f t="shared" si="53"/>
        <v/>
      </c>
      <c r="CQ55" s="26"/>
      <c r="CR55" s="32"/>
      <c r="CS55" s="26"/>
      <c r="CT55" s="26"/>
      <c r="CU55" s="26"/>
      <c r="CV55" s="32"/>
      <c r="CW55" s="26"/>
      <c r="CX55" s="26"/>
      <c r="CY55" s="26"/>
      <c r="CZ55" s="26"/>
    </row>
    <row r="56" ht="15.75" customHeight="1">
      <c r="A56" s="26"/>
      <c r="B56" s="26"/>
      <c r="C56" s="26"/>
      <c r="D56" s="26" t="str">
        <f t="shared" si="83"/>
        <v>Kya Plant Start Hone Ke Saath, TCP A line Bhi Start Ho Rha Hai?</v>
      </c>
      <c r="E56" s="83" t="s">
        <v>121</v>
      </c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85"/>
      <c r="R56" s="26"/>
      <c r="S56" s="83" t="s">
        <v>122</v>
      </c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85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93">
        <f t="shared" si="13"/>
        <v>53</v>
      </c>
      <c r="BB56" s="31">
        <f t="shared" si="36"/>
        <v>1.097222222</v>
      </c>
      <c r="BC56" s="94">
        <f t="shared" si="14"/>
        <v>53</v>
      </c>
      <c r="BD56" s="31">
        <f t="shared" si="37"/>
        <v>1.097222222</v>
      </c>
      <c r="BE56" s="95">
        <f t="shared" si="15"/>
        <v>1.097222222</v>
      </c>
      <c r="BF56" s="93" t="str">
        <f t="shared" si="16"/>
        <v/>
      </c>
      <c r="BG56" s="31" t="str">
        <f t="shared" si="54"/>
        <v/>
      </c>
      <c r="BH56" s="95" t="str">
        <f t="shared" si="17"/>
        <v/>
      </c>
      <c r="BI56" s="93" t="str">
        <f t="shared" si="18"/>
        <v/>
      </c>
      <c r="BJ56" s="31" t="str">
        <f t="shared" si="38"/>
        <v/>
      </c>
      <c r="BK56" s="95" t="str">
        <f t="shared" si="19"/>
        <v/>
      </c>
      <c r="BL56" s="93" t="str">
        <f t="shared" si="20"/>
        <v/>
      </c>
      <c r="BM56" s="31" t="str">
        <f t="shared" si="39"/>
        <v/>
      </c>
      <c r="BN56" s="95" t="str">
        <f t="shared" si="21"/>
        <v/>
      </c>
      <c r="BO56" s="93">
        <f t="shared" si="22"/>
        <v>53</v>
      </c>
      <c r="BP56" s="31">
        <f t="shared" si="40"/>
        <v>1.097222222</v>
      </c>
      <c r="BQ56" s="93" t="str">
        <f t="shared" si="23"/>
        <v/>
      </c>
      <c r="BR56" s="31" t="str">
        <f t="shared" si="41"/>
        <v/>
      </c>
      <c r="BS56" s="93" t="str">
        <f t="shared" si="24"/>
        <v/>
      </c>
      <c r="BT56" s="31" t="str">
        <f t="shared" si="42"/>
        <v/>
      </c>
      <c r="BU56" s="93" t="str">
        <f t="shared" si="25"/>
        <v/>
      </c>
      <c r="BV56" s="31" t="str">
        <f t="shared" si="43"/>
        <v/>
      </c>
      <c r="BW56" s="93" t="str">
        <f t="shared" si="26"/>
        <v/>
      </c>
      <c r="BX56" s="31" t="str">
        <f t="shared" si="44"/>
        <v/>
      </c>
      <c r="BY56" s="93" t="str">
        <f t="shared" si="27"/>
        <v/>
      </c>
      <c r="BZ56" s="31" t="str">
        <f t="shared" si="45"/>
        <v/>
      </c>
      <c r="CA56" s="93" t="str">
        <f t="shared" si="28"/>
        <v/>
      </c>
      <c r="CB56" s="31" t="str">
        <f t="shared" si="46"/>
        <v/>
      </c>
      <c r="CC56" s="93" t="str">
        <f t="shared" si="29"/>
        <v/>
      </c>
      <c r="CD56" s="31" t="str">
        <f t="shared" si="47"/>
        <v/>
      </c>
      <c r="CE56" s="93">
        <f t="shared" si="30"/>
        <v>53</v>
      </c>
      <c r="CF56" s="31">
        <f t="shared" si="48"/>
        <v>1.097222222</v>
      </c>
      <c r="CG56" s="93">
        <f t="shared" si="31"/>
        <v>53</v>
      </c>
      <c r="CH56" s="31">
        <f t="shared" si="49"/>
        <v>1.097222222</v>
      </c>
      <c r="CI56" s="93" t="str">
        <f t="shared" si="32"/>
        <v/>
      </c>
      <c r="CJ56" s="31" t="str">
        <f t="shared" si="50"/>
        <v/>
      </c>
      <c r="CK56" s="93" t="str">
        <f t="shared" si="33"/>
        <v/>
      </c>
      <c r="CL56" s="31" t="str">
        <f t="shared" si="51"/>
        <v/>
      </c>
      <c r="CM56" s="93" t="str">
        <f t="shared" si="34"/>
        <v/>
      </c>
      <c r="CN56" s="31" t="str">
        <f t="shared" si="52"/>
        <v/>
      </c>
      <c r="CO56" s="93" t="str">
        <f t="shared" si="35"/>
        <v/>
      </c>
      <c r="CP56" s="31" t="str">
        <f t="shared" si="53"/>
        <v/>
      </c>
      <c r="CQ56" s="26"/>
      <c r="CR56" s="32"/>
      <c r="CS56" s="26"/>
      <c r="CT56" s="26"/>
      <c r="CU56" s="26"/>
      <c r="CV56" s="32"/>
      <c r="CW56" s="26"/>
      <c r="CX56" s="26"/>
      <c r="CY56" s="26"/>
      <c r="CZ56" s="26"/>
    </row>
    <row r="57" ht="15.75" customHeight="1">
      <c r="A57" s="26"/>
      <c r="B57" s="26"/>
      <c r="C57" s="26"/>
      <c r="D57" s="26" t="str">
        <f t="shared" si="83"/>
        <v>Kya Plant Start Hone Ke Saath, TCP B line Bhi Start Ho Rha Hai?</v>
      </c>
      <c r="E57" s="83" t="s">
        <v>123</v>
      </c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85"/>
      <c r="R57" s="26"/>
      <c r="S57" s="83" t="s">
        <v>124</v>
      </c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85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93">
        <f t="shared" si="13"/>
        <v>54</v>
      </c>
      <c r="BB57" s="31">
        <f t="shared" si="36"/>
        <v>1.100694444</v>
      </c>
      <c r="BC57" s="94">
        <f t="shared" si="14"/>
        <v>54</v>
      </c>
      <c r="BD57" s="31">
        <f t="shared" si="37"/>
        <v>1.100694444</v>
      </c>
      <c r="BE57" s="95">
        <f t="shared" si="15"/>
        <v>1.100694444</v>
      </c>
      <c r="BF57" s="93" t="str">
        <f t="shared" si="16"/>
        <v/>
      </c>
      <c r="BG57" s="31" t="str">
        <f t="shared" si="54"/>
        <v/>
      </c>
      <c r="BH57" s="95" t="str">
        <f t="shared" si="17"/>
        <v/>
      </c>
      <c r="BI57" s="93" t="str">
        <f t="shared" si="18"/>
        <v/>
      </c>
      <c r="BJ57" s="31" t="str">
        <f t="shared" si="38"/>
        <v/>
      </c>
      <c r="BK57" s="95" t="str">
        <f t="shared" si="19"/>
        <v/>
      </c>
      <c r="BL57" s="93" t="str">
        <f t="shared" si="20"/>
        <v/>
      </c>
      <c r="BM57" s="31" t="str">
        <f t="shared" si="39"/>
        <v/>
      </c>
      <c r="BN57" s="95" t="str">
        <f t="shared" si="21"/>
        <v/>
      </c>
      <c r="BO57" s="93">
        <f t="shared" si="22"/>
        <v>54</v>
      </c>
      <c r="BP57" s="31">
        <f t="shared" si="40"/>
        <v>1.100694444</v>
      </c>
      <c r="BQ57" s="93" t="str">
        <f t="shared" si="23"/>
        <v/>
      </c>
      <c r="BR57" s="31" t="str">
        <f t="shared" si="41"/>
        <v/>
      </c>
      <c r="BS57" s="93" t="str">
        <f t="shared" si="24"/>
        <v/>
      </c>
      <c r="BT57" s="31" t="str">
        <f t="shared" si="42"/>
        <v/>
      </c>
      <c r="BU57" s="93" t="str">
        <f t="shared" si="25"/>
        <v/>
      </c>
      <c r="BV57" s="31" t="str">
        <f t="shared" si="43"/>
        <v/>
      </c>
      <c r="BW57" s="93" t="str">
        <f t="shared" si="26"/>
        <v/>
      </c>
      <c r="BX57" s="31" t="str">
        <f t="shared" si="44"/>
        <v/>
      </c>
      <c r="BY57" s="93" t="str">
        <f t="shared" si="27"/>
        <v/>
      </c>
      <c r="BZ57" s="31" t="str">
        <f t="shared" si="45"/>
        <v/>
      </c>
      <c r="CA57" s="93" t="str">
        <f t="shared" si="28"/>
        <v/>
      </c>
      <c r="CB57" s="31" t="str">
        <f t="shared" si="46"/>
        <v/>
      </c>
      <c r="CC57" s="93" t="str">
        <f t="shared" si="29"/>
        <v/>
      </c>
      <c r="CD57" s="31" t="str">
        <f t="shared" si="47"/>
        <v/>
      </c>
      <c r="CE57" s="93">
        <f t="shared" si="30"/>
        <v>54</v>
      </c>
      <c r="CF57" s="31">
        <f t="shared" si="48"/>
        <v>1.100694444</v>
      </c>
      <c r="CG57" s="93">
        <f t="shared" si="31"/>
        <v>54</v>
      </c>
      <c r="CH57" s="31">
        <f t="shared" si="49"/>
        <v>1.100694444</v>
      </c>
      <c r="CI57" s="93" t="str">
        <f t="shared" si="32"/>
        <v/>
      </c>
      <c r="CJ57" s="31" t="str">
        <f t="shared" si="50"/>
        <v/>
      </c>
      <c r="CK57" s="93" t="str">
        <f t="shared" si="33"/>
        <v/>
      </c>
      <c r="CL57" s="31" t="str">
        <f t="shared" si="51"/>
        <v/>
      </c>
      <c r="CM57" s="93" t="str">
        <f t="shared" si="34"/>
        <v/>
      </c>
      <c r="CN57" s="31" t="str">
        <f t="shared" si="52"/>
        <v/>
      </c>
      <c r="CO57" s="93" t="str">
        <f t="shared" si="35"/>
        <v/>
      </c>
      <c r="CP57" s="31" t="str">
        <f t="shared" si="53"/>
        <v/>
      </c>
      <c r="CQ57" s="26"/>
      <c r="CR57" s="32"/>
      <c r="CS57" s="26"/>
      <c r="CT57" s="26"/>
      <c r="CU57" s="26"/>
      <c r="CV57" s="32"/>
      <c r="CW57" s="26"/>
      <c r="CX57" s="26"/>
      <c r="CY57" s="26"/>
      <c r="CZ57" s="26"/>
    </row>
    <row r="58" ht="15.75" customHeight="1">
      <c r="A58" s="26"/>
      <c r="B58" s="26"/>
      <c r="C58" s="26"/>
      <c r="D58" s="26" t="str">
        <f t="shared" si="83"/>
        <v>Kya Plant Start Hone Ke Saath, TCP C line Bhi Start Ho Rha Hai?</v>
      </c>
      <c r="E58" s="83" t="s">
        <v>125</v>
      </c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85"/>
      <c r="R58" s="26"/>
      <c r="S58" s="83" t="s">
        <v>126</v>
      </c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85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93">
        <f t="shared" si="13"/>
        <v>55</v>
      </c>
      <c r="BB58" s="31">
        <f t="shared" si="36"/>
        <v>1.104166667</v>
      </c>
      <c r="BC58" s="94">
        <f t="shared" si="14"/>
        <v>55</v>
      </c>
      <c r="BD58" s="31">
        <f t="shared" si="37"/>
        <v>1.104166667</v>
      </c>
      <c r="BE58" s="95">
        <f t="shared" si="15"/>
        <v>1.104166667</v>
      </c>
      <c r="BF58" s="93" t="str">
        <f t="shared" si="16"/>
        <v/>
      </c>
      <c r="BG58" s="31" t="str">
        <f t="shared" si="54"/>
        <v/>
      </c>
      <c r="BH58" s="95" t="str">
        <f t="shared" si="17"/>
        <v/>
      </c>
      <c r="BI58" s="93" t="str">
        <f t="shared" si="18"/>
        <v/>
      </c>
      <c r="BJ58" s="31" t="str">
        <f t="shared" si="38"/>
        <v/>
      </c>
      <c r="BK58" s="95" t="str">
        <f t="shared" si="19"/>
        <v/>
      </c>
      <c r="BL58" s="93" t="str">
        <f t="shared" si="20"/>
        <v/>
      </c>
      <c r="BM58" s="31" t="str">
        <f t="shared" si="39"/>
        <v/>
      </c>
      <c r="BN58" s="95" t="str">
        <f t="shared" si="21"/>
        <v/>
      </c>
      <c r="BO58" s="93">
        <f t="shared" si="22"/>
        <v>55</v>
      </c>
      <c r="BP58" s="31">
        <f t="shared" si="40"/>
        <v>1.104166667</v>
      </c>
      <c r="BQ58" s="93" t="str">
        <f t="shared" si="23"/>
        <v/>
      </c>
      <c r="BR58" s="31" t="str">
        <f t="shared" si="41"/>
        <v/>
      </c>
      <c r="BS58" s="93" t="str">
        <f t="shared" si="24"/>
        <v/>
      </c>
      <c r="BT58" s="31" t="str">
        <f t="shared" si="42"/>
        <v/>
      </c>
      <c r="BU58" s="93" t="str">
        <f t="shared" si="25"/>
        <v/>
      </c>
      <c r="BV58" s="31" t="str">
        <f t="shared" si="43"/>
        <v/>
      </c>
      <c r="BW58" s="93" t="str">
        <f t="shared" si="26"/>
        <v/>
      </c>
      <c r="BX58" s="31" t="str">
        <f t="shared" si="44"/>
        <v/>
      </c>
      <c r="BY58" s="93" t="str">
        <f t="shared" si="27"/>
        <v/>
      </c>
      <c r="BZ58" s="31" t="str">
        <f t="shared" si="45"/>
        <v/>
      </c>
      <c r="CA58" s="93" t="str">
        <f t="shared" si="28"/>
        <v/>
      </c>
      <c r="CB58" s="31" t="str">
        <f t="shared" si="46"/>
        <v/>
      </c>
      <c r="CC58" s="93" t="str">
        <f t="shared" si="29"/>
        <v/>
      </c>
      <c r="CD58" s="31" t="str">
        <f t="shared" si="47"/>
        <v/>
      </c>
      <c r="CE58" s="93">
        <f t="shared" si="30"/>
        <v>55</v>
      </c>
      <c r="CF58" s="31">
        <f t="shared" si="48"/>
        <v>1.104166667</v>
      </c>
      <c r="CG58" s="93">
        <f t="shared" si="31"/>
        <v>55</v>
      </c>
      <c r="CH58" s="31">
        <f t="shared" si="49"/>
        <v>1.104166667</v>
      </c>
      <c r="CI58" s="93" t="str">
        <f t="shared" si="32"/>
        <v/>
      </c>
      <c r="CJ58" s="31" t="str">
        <f t="shared" si="50"/>
        <v/>
      </c>
      <c r="CK58" s="93" t="str">
        <f t="shared" si="33"/>
        <v/>
      </c>
      <c r="CL58" s="31" t="str">
        <f t="shared" si="51"/>
        <v/>
      </c>
      <c r="CM58" s="93" t="str">
        <f t="shared" si="34"/>
        <v/>
      </c>
      <c r="CN58" s="31" t="str">
        <f t="shared" si="52"/>
        <v/>
      </c>
      <c r="CO58" s="93" t="str">
        <f t="shared" si="35"/>
        <v/>
      </c>
      <c r="CP58" s="31" t="str">
        <f t="shared" si="53"/>
        <v/>
      </c>
      <c r="CQ58" s="26"/>
      <c r="CR58" s="32"/>
      <c r="CS58" s="26"/>
      <c r="CT58" s="26"/>
      <c r="CU58" s="26"/>
      <c r="CV58" s="32"/>
      <c r="CW58" s="26"/>
      <c r="CX58" s="26"/>
      <c r="CY58" s="26"/>
      <c r="CZ58" s="26"/>
    </row>
    <row r="59" ht="15.75" customHeight="1">
      <c r="A59" s="26"/>
      <c r="B59" s="26"/>
      <c r="C59" s="26"/>
      <c r="D59" s="26" t="str">
        <f t="shared" si="83"/>
        <v>Please Loading Plant Stoppage Ka Reason Bataayen</v>
      </c>
      <c r="E59" s="83" t="s">
        <v>127</v>
      </c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85"/>
      <c r="R59" s="26"/>
      <c r="S59" s="83" t="s">
        <v>128</v>
      </c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85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93">
        <f t="shared" si="13"/>
        <v>56</v>
      </c>
      <c r="BB59" s="31">
        <f t="shared" si="36"/>
        <v>1.107638889</v>
      </c>
      <c r="BC59" s="94">
        <f t="shared" si="14"/>
        <v>56</v>
      </c>
      <c r="BD59" s="31">
        <f t="shared" si="37"/>
        <v>1.107638889</v>
      </c>
      <c r="BE59" s="95">
        <f t="shared" si="15"/>
        <v>1.107638889</v>
      </c>
      <c r="BF59" s="93" t="str">
        <f t="shared" si="16"/>
        <v/>
      </c>
      <c r="BG59" s="31" t="str">
        <f t="shared" si="54"/>
        <v/>
      </c>
      <c r="BH59" s="95" t="str">
        <f t="shared" si="17"/>
        <v/>
      </c>
      <c r="BI59" s="93" t="str">
        <f t="shared" si="18"/>
        <v/>
      </c>
      <c r="BJ59" s="31" t="str">
        <f t="shared" si="38"/>
        <v/>
      </c>
      <c r="BK59" s="95" t="str">
        <f t="shared" si="19"/>
        <v/>
      </c>
      <c r="BL59" s="93" t="str">
        <f t="shared" si="20"/>
        <v/>
      </c>
      <c r="BM59" s="31" t="str">
        <f t="shared" si="39"/>
        <v/>
      </c>
      <c r="BN59" s="95" t="str">
        <f t="shared" si="21"/>
        <v/>
      </c>
      <c r="BO59" s="93">
        <f t="shared" si="22"/>
        <v>56</v>
      </c>
      <c r="BP59" s="31">
        <f t="shared" si="40"/>
        <v>1.107638889</v>
      </c>
      <c r="BQ59" s="93" t="str">
        <f t="shared" si="23"/>
        <v/>
      </c>
      <c r="BR59" s="31" t="str">
        <f t="shared" si="41"/>
        <v/>
      </c>
      <c r="BS59" s="93" t="str">
        <f t="shared" si="24"/>
        <v/>
      </c>
      <c r="BT59" s="31" t="str">
        <f t="shared" si="42"/>
        <v/>
      </c>
      <c r="BU59" s="93" t="str">
        <f t="shared" si="25"/>
        <v/>
      </c>
      <c r="BV59" s="31" t="str">
        <f t="shared" si="43"/>
        <v/>
      </c>
      <c r="BW59" s="93" t="str">
        <f t="shared" si="26"/>
        <v/>
      </c>
      <c r="BX59" s="31" t="str">
        <f t="shared" si="44"/>
        <v/>
      </c>
      <c r="BY59" s="93" t="str">
        <f t="shared" si="27"/>
        <v/>
      </c>
      <c r="BZ59" s="31" t="str">
        <f t="shared" si="45"/>
        <v/>
      </c>
      <c r="CA59" s="93" t="str">
        <f t="shared" si="28"/>
        <v/>
      </c>
      <c r="CB59" s="31" t="str">
        <f t="shared" si="46"/>
        <v/>
      </c>
      <c r="CC59" s="93" t="str">
        <f t="shared" si="29"/>
        <v/>
      </c>
      <c r="CD59" s="31" t="str">
        <f t="shared" si="47"/>
        <v/>
      </c>
      <c r="CE59" s="93">
        <f t="shared" si="30"/>
        <v>56</v>
      </c>
      <c r="CF59" s="31">
        <f t="shared" si="48"/>
        <v>1.107638889</v>
      </c>
      <c r="CG59" s="93">
        <f t="shared" si="31"/>
        <v>56</v>
      </c>
      <c r="CH59" s="31">
        <f t="shared" si="49"/>
        <v>1.107638889</v>
      </c>
      <c r="CI59" s="93" t="str">
        <f t="shared" si="32"/>
        <v/>
      </c>
      <c r="CJ59" s="31" t="str">
        <f t="shared" si="50"/>
        <v/>
      </c>
      <c r="CK59" s="93" t="str">
        <f t="shared" si="33"/>
        <v/>
      </c>
      <c r="CL59" s="31" t="str">
        <f t="shared" si="51"/>
        <v/>
      </c>
      <c r="CM59" s="93" t="str">
        <f t="shared" si="34"/>
        <v/>
      </c>
      <c r="CN59" s="31" t="str">
        <f t="shared" si="52"/>
        <v/>
      </c>
      <c r="CO59" s="93" t="str">
        <f t="shared" si="35"/>
        <v/>
      </c>
      <c r="CP59" s="31" t="str">
        <f t="shared" si="53"/>
        <v/>
      </c>
      <c r="CQ59" s="26"/>
      <c r="CR59" s="32"/>
      <c r="CS59" s="26"/>
      <c r="CT59" s="26"/>
      <c r="CU59" s="26"/>
      <c r="CV59" s="32"/>
      <c r="CW59" s="26"/>
      <c r="CX59" s="26"/>
      <c r="CY59" s="26"/>
      <c r="CZ59" s="26"/>
    </row>
    <row r="60" ht="15.75" customHeight="1">
      <c r="A60" s="26"/>
      <c r="B60" s="26"/>
      <c r="C60" s="26"/>
      <c r="D60" s="26" t="str">
        <f t="shared" si="83"/>
        <v>Kya Loading Plant Stoppage Hone Ke Sath, Chaalu Plant Bhi Stop Ho Gya Hai ?</v>
      </c>
      <c r="E60" s="83" t="s">
        <v>129</v>
      </c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85"/>
      <c r="R60" s="26"/>
      <c r="S60" s="83" t="s">
        <v>130</v>
      </c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85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93">
        <f t="shared" si="13"/>
        <v>57</v>
      </c>
      <c r="BB60" s="31">
        <f t="shared" si="36"/>
        <v>1.111111111</v>
      </c>
      <c r="BC60" s="94">
        <f t="shared" si="14"/>
        <v>57</v>
      </c>
      <c r="BD60" s="31">
        <f t="shared" si="37"/>
        <v>1.111111111</v>
      </c>
      <c r="BE60" s="95">
        <f t="shared" si="15"/>
        <v>1.111111111</v>
      </c>
      <c r="BF60" s="93" t="str">
        <f t="shared" si="16"/>
        <v/>
      </c>
      <c r="BG60" s="31" t="str">
        <f t="shared" si="54"/>
        <v/>
      </c>
      <c r="BH60" s="95" t="str">
        <f t="shared" si="17"/>
        <v/>
      </c>
      <c r="BI60" s="93" t="str">
        <f t="shared" si="18"/>
        <v/>
      </c>
      <c r="BJ60" s="31" t="str">
        <f t="shared" si="38"/>
        <v/>
      </c>
      <c r="BK60" s="95" t="str">
        <f t="shared" si="19"/>
        <v/>
      </c>
      <c r="BL60" s="93" t="str">
        <f t="shared" si="20"/>
        <v/>
      </c>
      <c r="BM60" s="31" t="str">
        <f t="shared" si="39"/>
        <v/>
      </c>
      <c r="BN60" s="95" t="str">
        <f t="shared" si="21"/>
        <v/>
      </c>
      <c r="BO60" s="93">
        <f t="shared" si="22"/>
        <v>57</v>
      </c>
      <c r="BP60" s="31">
        <f t="shared" si="40"/>
        <v>1.111111111</v>
      </c>
      <c r="BQ60" s="93" t="str">
        <f t="shared" si="23"/>
        <v/>
      </c>
      <c r="BR60" s="31" t="str">
        <f t="shared" si="41"/>
        <v/>
      </c>
      <c r="BS60" s="93" t="str">
        <f t="shared" si="24"/>
        <v/>
      </c>
      <c r="BT60" s="31" t="str">
        <f t="shared" si="42"/>
        <v/>
      </c>
      <c r="BU60" s="93" t="str">
        <f t="shared" si="25"/>
        <v/>
      </c>
      <c r="BV60" s="31" t="str">
        <f t="shared" si="43"/>
        <v/>
      </c>
      <c r="BW60" s="93" t="str">
        <f t="shared" si="26"/>
        <v/>
      </c>
      <c r="BX60" s="31" t="str">
        <f t="shared" si="44"/>
        <v/>
      </c>
      <c r="BY60" s="93" t="str">
        <f t="shared" si="27"/>
        <v/>
      </c>
      <c r="BZ60" s="31" t="str">
        <f t="shared" si="45"/>
        <v/>
      </c>
      <c r="CA60" s="93" t="str">
        <f t="shared" si="28"/>
        <v/>
      </c>
      <c r="CB60" s="31" t="str">
        <f t="shared" si="46"/>
        <v/>
      </c>
      <c r="CC60" s="93" t="str">
        <f t="shared" si="29"/>
        <v/>
      </c>
      <c r="CD60" s="31" t="str">
        <f t="shared" si="47"/>
        <v/>
      </c>
      <c r="CE60" s="93">
        <f t="shared" si="30"/>
        <v>57</v>
      </c>
      <c r="CF60" s="31">
        <f t="shared" si="48"/>
        <v>1.111111111</v>
      </c>
      <c r="CG60" s="93">
        <f t="shared" si="31"/>
        <v>57</v>
      </c>
      <c r="CH60" s="31">
        <f t="shared" si="49"/>
        <v>1.111111111</v>
      </c>
      <c r="CI60" s="93" t="str">
        <f t="shared" si="32"/>
        <v/>
      </c>
      <c r="CJ60" s="31" t="str">
        <f t="shared" si="50"/>
        <v/>
      </c>
      <c r="CK60" s="93" t="str">
        <f t="shared" si="33"/>
        <v/>
      </c>
      <c r="CL60" s="31" t="str">
        <f t="shared" si="51"/>
        <v/>
      </c>
      <c r="CM60" s="93" t="str">
        <f t="shared" si="34"/>
        <v/>
      </c>
      <c r="CN60" s="31" t="str">
        <f t="shared" si="52"/>
        <v/>
      </c>
      <c r="CO60" s="93" t="str">
        <f t="shared" si="35"/>
        <v/>
      </c>
      <c r="CP60" s="31" t="str">
        <f t="shared" si="53"/>
        <v/>
      </c>
      <c r="CQ60" s="26"/>
      <c r="CR60" s="32"/>
      <c r="CS60" s="26"/>
      <c r="CT60" s="26"/>
      <c r="CU60" s="26"/>
      <c r="CV60" s="32"/>
      <c r="CW60" s="26"/>
      <c r="CX60" s="26"/>
      <c r="CY60" s="26"/>
      <c r="CZ60" s="26"/>
    </row>
    <row r="61" ht="15.75" customHeight="1">
      <c r="A61" s="26"/>
      <c r="B61" s="26"/>
      <c r="C61" s="26"/>
      <c r="D61" s="26" t="str">
        <f t="shared" si="83"/>
        <v>Kya Loading Plant Stoppage Hone Se Pahle Screening Plant Stoppage Se Band Tha ?</v>
      </c>
      <c r="E61" s="83" t="s">
        <v>131</v>
      </c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85"/>
      <c r="R61" s="26"/>
      <c r="S61" s="83" t="s">
        <v>132</v>
      </c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85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93">
        <f t="shared" si="13"/>
        <v>58</v>
      </c>
      <c r="BB61" s="31">
        <f t="shared" si="36"/>
        <v>1.114583333</v>
      </c>
      <c r="BC61" s="94">
        <f t="shared" si="14"/>
        <v>58</v>
      </c>
      <c r="BD61" s="31">
        <f t="shared" si="37"/>
        <v>1.114583333</v>
      </c>
      <c r="BE61" s="95">
        <f t="shared" si="15"/>
        <v>1.114583333</v>
      </c>
      <c r="BF61" s="93" t="str">
        <f t="shared" si="16"/>
        <v/>
      </c>
      <c r="BG61" s="31" t="str">
        <f t="shared" si="54"/>
        <v/>
      </c>
      <c r="BH61" s="95" t="str">
        <f t="shared" si="17"/>
        <v/>
      </c>
      <c r="BI61" s="93" t="str">
        <f t="shared" si="18"/>
        <v/>
      </c>
      <c r="BJ61" s="31" t="str">
        <f t="shared" si="38"/>
        <v/>
      </c>
      <c r="BK61" s="95" t="str">
        <f t="shared" si="19"/>
        <v/>
      </c>
      <c r="BL61" s="93" t="str">
        <f t="shared" si="20"/>
        <v/>
      </c>
      <c r="BM61" s="31" t="str">
        <f t="shared" si="39"/>
        <v/>
      </c>
      <c r="BN61" s="95" t="str">
        <f t="shared" si="21"/>
        <v/>
      </c>
      <c r="BO61" s="93">
        <f t="shared" si="22"/>
        <v>58</v>
      </c>
      <c r="BP61" s="31">
        <f t="shared" si="40"/>
        <v>1.114583333</v>
      </c>
      <c r="BQ61" s="93" t="str">
        <f t="shared" si="23"/>
        <v/>
      </c>
      <c r="BR61" s="31" t="str">
        <f t="shared" si="41"/>
        <v/>
      </c>
      <c r="BS61" s="93" t="str">
        <f t="shared" si="24"/>
        <v/>
      </c>
      <c r="BT61" s="31" t="str">
        <f t="shared" si="42"/>
        <v/>
      </c>
      <c r="BU61" s="93" t="str">
        <f t="shared" si="25"/>
        <v/>
      </c>
      <c r="BV61" s="31" t="str">
        <f t="shared" si="43"/>
        <v/>
      </c>
      <c r="BW61" s="93" t="str">
        <f t="shared" si="26"/>
        <v/>
      </c>
      <c r="BX61" s="31" t="str">
        <f t="shared" si="44"/>
        <v/>
      </c>
      <c r="BY61" s="93" t="str">
        <f t="shared" si="27"/>
        <v/>
      </c>
      <c r="BZ61" s="31" t="str">
        <f t="shared" si="45"/>
        <v/>
      </c>
      <c r="CA61" s="93" t="str">
        <f t="shared" si="28"/>
        <v/>
      </c>
      <c r="CB61" s="31" t="str">
        <f t="shared" si="46"/>
        <v/>
      </c>
      <c r="CC61" s="93" t="str">
        <f t="shared" si="29"/>
        <v/>
      </c>
      <c r="CD61" s="31" t="str">
        <f t="shared" si="47"/>
        <v/>
      </c>
      <c r="CE61" s="93">
        <f t="shared" si="30"/>
        <v>58</v>
      </c>
      <c r="CF61" s="31">
        <f t="shared" si="48"/>
        <v>1.114583333</v>
      </c>
      <c r="CG61" s="93">
        <f t="shared" si="31"/>
        <v>58</v>
      </c>
      <c r="CH61" s="31">
        <f t="shared" si="49"/>
        <v>1.114583333</v>
      </c>
      <c r="CI61" s="93" t="str">
        <f t="shared" si="32"/>
        <v/>
      </c>
      <c r="CJ61" s="31" t="str">
        <f t="shared" si="50"/>
        <v/>
      </c>
      <c r="CK61" s="93" t="str">
        <f t="shared" si="33"/>
        <v/>
      </c>
      <c r="CL61" s="31" t="str">
        <f t="shared" si="51"/>
        <v/>
      </c>
      <c r="CM61" s="93" t="str">
        <f t="shared" si="34"/>
        <v/>
      </c>
      <c r="CN61" s="31" t="str">
        <f t="shared" si="52"/>
        <v/>
      </c>
      <c r="CO61" s="93" t="str">
        <f t="shared" si="35"/>
        <v/>
      </c>
      <c r="CP61" s="31" t="str">
        <f t="shared" si="53"/>
        <v/>
      </c>
      <c r="CQ61" s="26"/>
      <c r="CR61" s="32"/>
      <c r="CS61" s="26"/>
      <c r="CT61" s="26"/>
      <c r="CU61" s="26"/>
      <c r="CV61" s="32"/>
      <c r="CW61" s="26"/>
      <c r="CX61" s="26"/>
      <c r="CY61" s="26"/>
      <c r="CZ61" s="26"/>
    </row>
    <row r="62" ht="15.75" customHeight="1">
      <c r="A62" s="26"/>
      <c r="B62" s="26"/>
      <c r="C62" s="26"/>
      <c r="D62" s="26" t="str">
        <f t="shared" si="83"/>
        <v>Please Reason Bataayen</v>
      </c>
      <c r="E62" s="83" t="s">
        <v>133</v>
      </c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85"/>
      <c r="R62" s="26"/>
      <c r="S62" s="83" t="s">
        <v>134</v>
      </c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85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93">
        <f t="shared" si="13"/>
        <v>59</v>
      </c>
      <c r="BB62" s="31">
        <f t="shared" si="36"/>
        <v>1.118055556</v>
      </c>
      <c r="BC62" s="94">
        <f t="shared" si="14"/>
        <v>59</v>
      </c>
      <c r="BD62" s="31">
        <f t="shared" si="37"/>
        <v>1.118055556</v>
      </c>
      <c r="BE62" s="95">
        <f t="shared" si="15"/>
        <v>1.118055556</v>
      </c>
      <c r="BF62" s="93" t="str">
        <f t="shared" si="16"/>
        <v/>
      </c>
      <c r="BG62" s="31" t="str">
        <f t="shared" si="54"/>
        <v/>
      </c>
      <c r="BH62" s="95" t="str">
        <f t="shared" si="17"/>
        <v/>
      </c>
      <c r="BI62" s="93" t="str">
        <f t="shared" si="18"/>
        <v/>
      </c>
      <c r="BJ62" s="31" t="str">
        <f t="shared" si="38"/>
        <v/>
      </c>
      <c r="BK62" s="95" t="str">
        <f t="shared" si="19"/>
        <v/>
      </c>
      <c r="BL62" s="93" t="str">
        <f t="shared" si="20"/>
        <v/>
      </c>
      <c r="BM62" s="31" t="str">
        <f t="shared" si="39"/>
        <v/>
      </c>
      <c r="BN62" s="95" t="str">
        <f t="shared" si="21"/>
        <v/>
      </c>
      <c r="BO62" s="93">
        <f t="shared" si="22"/>
        <v>59</v>
      </c>
      <c r="BP62" s="31">
        <f t="shared" si="40"/>
        <v>1.118055556</v>
      </c>
      <c r="BQ62" s="93" t="str">
        <f t="shared" si="23"/>
        <v/>
      </c>
      <c r="BR62" s="31" t="str">
        <f t="shared" si="41"/>
        <v/>
      </c>
      <c r="BS62" s="93" t="str">
        <f t="shared" si="24"/>
        <v/>
      </c>
      <c r="BT62" s="31" t="str">
        <f t="shared" si="42"/>
        <v/>
      </c>
      <c r="BU62" s="93" t="str">
        <f t="shared" si="25"/>
        <v/>
      </c>
      <c r="BV62" s="31" t="str">
        <f t="shared" si="43"/>
        <v/>
      </c>
      <c r="BW62" s="93" t="str">
        <f t="shared" si="26"/>
        <v/>
      </c>
      <c r="BX62" s="31" t="str">
        <f t="shared" si="44"/>
        <v/>
      </c>
      <c r="BY62" s="93" t="str">
        <f t="shared" si="27"/>
        <v/>
      </c>
      <c r="BZ62" s="31" t="str">
        <f t="shared" si="45"/>
        <v/>
      </c>
      <c r="CA62" s="93" t="str">
        <f t="shared" si="28"/>
        <v/>
      </c>
      <c r="CB62" s="31" t="str">
        <f t="shared" si="46"/>
        <v/>
      </c>
      <c r="CC62" s="93" t="str">
        <f t="shared" si="29"/>
        <v/>
      </c>
      <c r="CD62" s="31" t="str">
        <f t="shared" si="47"/>
        <v/>
      </c>
      <c r="CE62" s="93">
        <f t="shared" si="30"/>
        <v>59</v>
      </c>
      <c r="CF62" s="31">
        <f t="shared" si="48"/>
        <v>1.118055556</v>
      </c>
      <c r="CG62" s="93">
        <f t="shared" si="31"/>
        <v>59</v>
      </c>
      <c r="CH62" s="31">
        <f t="shared" si="49"/>
        <v>1.118055556</v>
      </c>
      <c r="CI62" s="93" t="str">
        <f t="shared" si="32"/>
        <v/>
      </c>
      <c r="CJ62" s="31" t="str">
        <f t="shared" si="50"/>
        <v/>
      </c>
      <c r="CK62" s="93" t="str">
        <f t="shared" si="33"/>
        <v/>
      </c>
      <c r="CL62" s="31" t="str">
        <f t="shared" si="51"/>
        <v/>
      </c>
      <c r="CM62" s="93" t="str">
        <f t="shared" si="34"/>
        <v/>
      </c>
      <c r="CN62" s="31" t="str">
        <f t="shared" si="52"/>
        <v/>
      </c>
      <c r="CO62" s="93" t="str">
        <f t="shared" si="35"/>
        <v/>
      </c>
      <c r="CP62" s="31" t="str">
        <f t="shared" si="53"/>
        <v/>
      </c>
      <c r="CQ62" s="26"/>
      <c r="CR62" s="32"/>
      <c r="CS62" s="26"/>
      <c r="CT62" s="26"/>
      <c r="CU62" s="26"/>
      <c r="CV62" s="32"/>
      <c r="CW62" s="26"/>
      <c r="CX62" s="26"/>
      <c r="CY62" s="26"/>
      <c r="CZ62" s="26"/>
    </row>
    <row r="63" ht="15.75" customHeight="1">
      <c r="A63" s="26"/>
      <c r="B63" s="26"/>
      <c r="C63" s="26"/>
      <c r="D63" s="26" t="str">
        <f t="shared" si="83"/>
        <v>Ohh !!! Means Plant, shift ke Starting Se Band Hai</v>
      </c>
      <c r="E63" s="83" t="s">
        <v>135</v>
      </c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85"/>
      <c r="R63" s="26"/>
      <c r="S63" s="83" t="s">
        <v>136</v>
      </c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85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93">
        <f t="shared" si="13"/>
        <v>60</v>
      </c>
      <c r="BB63" s="31">
        <f t="shared" si="36"/>
        <v>1.121527778</v>
      </c>
      <c r="BC63" s="94">
        <f t="shared" si="14"/>
        <v>60</v>
      </c>
      <c r="BD63" s="31">
        <f t="shared" si="37"/>
        <v>1.121527778</v>
      </c>
      <c r="BE63" s="95">
        <f t="shared" si="15"/>
        <v>1.121527778</v>
      </c>
      <c r="BF63" s="93" t="str">
        <f t="shared" si="16"/>
        <v/>
      </c>
      <c r="BG63" s="31" t="str">
        <f t="shared" si="54"/>
        <v/>
      </c>
      <c r="BH63" s="95" t="str">
        <f t="shared" si="17"/>
        <v/>
      </c>
      <c r="BI63" s="93" t="str">
        <f t="shared" si="18"/>
        <v/>
      </c>
      <c r="BJ63" s="31" t="str">
        <f t="shared" si="38"/>
        <v/>
      </c>
      <c r="BK63" s="95" t="str">
        <f t="shared" si="19"/>
        <v/>
      </c>
      <c r="BL63" s="93" t="str">
        <f t="shared" si="20"/>
        <v/>
      </c>
      <c r="BM63" s="31" t="str">
        <f t="shared" si="39"/>
        <v/>
      </c>
      <c r="BN63" s="95" t="str">
        <f t="shared" si="21"/>
        <v/>
      </c>
      <c r="BO63" s="93">
        <f t="shared" si="22"/>
        <v>60</v>
      </c>
      <c r="BP63" s="31">
        <f t="shared" si="40"/>
        <v>1.121527778</v>
      </c>
      <c r="BQ63" s="93" t="str">
        <f t="shared" si="23"/>
        <v/>
      </c>
      <c r="BR63" s="31" t="str">
        <f t="shared" si="41"/>
        <v/>
      </c>
      <c r="BS63" s="93" t="str">
        <f t="shared" si="24"/>
        <v/>
      </c>
      <c r="BT63" s="31" t="str">
        <f t="shared" si="42"/>
        <v/>
      </c>
      <c r="BU63" s="93" t="str">
        <f t="shared" si="25"/>
        <v/>
      </c>
      <c r="BV63" s="31" t="str">
        <f t="shared" si="43"/>
        <v/>
      </c>
      <c r="BW63" s="93" t="str">
        <f t="shared" si="26"/>
        <v/>
      </c>
      <c r="BX63" s="31" t="str">
        <f t="shared" si="44"/>
        <v/>
      </c>
      <c r="BY63" s="93" t="str">
        <f t="shared" si="27"/>
        <v/>
      </c>
      <c r="BZ63" s="31" t="str">
        <f t="shared" si="45"/>
        <v/>
      </c>
      <c r="CA63" s="93" t="str">
        <f t="shared" si="28"/>
        <v/>
      </c>
      <c r="CB63" s="31" t="str">
        <f t="shared" si="46"/>
        <v/>
      </c>
      <c r="CC63" s="93" t="str">
        <f t="shared" si="29"/>
        <v/>
      </c>
      <c r="CD63" s="31" t="str">
        <f t="shared" si="47"/>
        <v/>
      </c>
      <c r="CE63" s="93">
        <f t="shared" si="30"/>
        <v>60</v>
      </c>
      <c r="CF63" s="31">
        <f t="shared" si="48"/>
        <v>1.121527778</v>
      </c>
      <c r="CG63" s="93">
        <f t="shared" si="31"/>
        <v>60</v>
      </c>
      <c r="CH63" s="31">
        <f t="shared" si="49"/>
        <v>1.121527778</v>
      </c>
      <c r="CI63" s="93" t="str">
        <f t="shared" si="32"/>
        <v/>
      </c>
      <c r="CJ63" s="31" t="str">
        <f t="shared" si="50"/>
        <v/>
      </c>
      <c r="CK63" s="93" t="str">
        <f t="shared" si="33"/>
        <v/>
      </c>
      <c r="CL63" s="31" t="str">
        <f t="shared" si="51"/>
        <v/>
      </c>
      <c r="CM63" s="93" t="str">
        <f t="shared" si="34"/>
        <v/>
      </c>
      <c r="CN63" s="31" t="str">
        <f t="shared" si="52"/>
        <v/>
      </c>
      <c r="CO63" s="93" t="str">
        <f t="shared" si="35"/>
        <v/>
      </c>
      <c r="CP63" s="31" t="str">
        <f t="shared" si="53"/>
        <v/>
      </c>
      <c r="CQ63" s="26"/>
      <c r="CR63" s="32"/>
      <c r="CS63" s="26"/>
      <c r="CT63" s="26"/>
      <c r="CU63" s="26"/>
      <c r="CV63" s="32"/>
      <c r="CW63" s="26"/>
      <c r="CX63" s="26"/>
      <c r="CY63" s="26"/>
      <c r="CZ63" s="26"/>
    </row>
    <row r="64" ht="15.75" customHeight="1">
      <c r="A64" s="26"/>
      <c r="B64" s="26"/>
      <c r="C64" s="26"/>
      <c r="D64" s="26" t="str">
        <f t="shared" si="83"/>
        <v>Please Screening Plant Stoppage Ka Reason Bataayen</v>
      </c>
      <c r="E64" s="83" t="s">
        <v>137</v>
      </c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85"/>
      <c r="R64" s="26"/>
      <c r="S64" s="83" t="s">
        <v>138</v>
      </c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85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93">
        <f t="shared" si="13"/>
        <v>61</v>
      </c>
      <c r="BB64" s="31">
        <f t="shared" si="36"/>
        <v>1.125</v>
      </c>
      <c r="BC64" s="94">
        <f t="shared" si="14"/>
        <v>61</v>
      </c>
      <c r="BD64" s="31">
        <f t="shared" si="37"/>
        <v>1.125</v>
      </c>
      <c r="BE64" s="95">
        <f t="shared" si="15"/>
        <v>1.125</v>
      </c>
      <c r="BF64" s="93" t="str">
        <f t="shared" si="16"/>
        <v/>
      </c>
      <c r="BG64" s="31" t="str">
        <f t="shared" si="54"/>
        <v/>
      </c>
      <c r="BH64" s="95" t="str">
        <f t="shared" si="17"/>
        <v/>
      </c>
      <c r="BI64" s="93" t="str">
        <f t="shared" si="18"/>
        <v/>
      </c>
      <c r="BJ64" s="31" t="str">
        <f t="shared" si="38"/>
        <v/>
      </c>
      <c r="BK64" s="95" t="str">
        <f t="shared" si="19"/>
        <v/>
      </c>
      <c r="BL64" s="93" t="str">
        <f t="shared" si="20"/>
        <v/>
      </c>
      <c r="BM64" s="31" t="str">
        <f t="shared" si="39"/>
        <v/>
      </c>
      <c r="BN64" s="95" t="str">
        <f t="shared" si="21"/>
        <v/>
      </c>
      <c r="BO64" s="93">
        <f t="shared" si="22"/>
        <v>61</v>
      </c>
      <c r="BP64" s="31">
        <f t="shared" si="40"/>
        <v>1.125</v>
      </c>
      <c r="BQ64" s="93" t="str">
        <f t="shared" si="23"/>
        <v/>
      </c>
      <c r="BR64" s="31" t="str">
        <f t="shared" si="41"/>
        <v/>
      </c>
      <c r="BS64" s="93" t="str">
        <f t="shared" si="24"/>
        <v/>
      </c>
      <c r="BT64" s="31" t="str">
        <f t="shared" si="42"/>
        <v/>
      </c>
      <c r="BU64" s="93" t="str">
        <f t="shared" si="25"/>
        <v/>
      </c>
      <c r="BV64" s="31" t="str">
        <f t="shared" si="43"/>
        <v/>
      </c>
      <c r="BW64" s="93" t="str">
        <f t="shared" si="26"/>
        <v/>
      </c>
      <c r="BX64" s="31" t="str">
        <f t="shared" si="44"/>
        <v/>
      </c>
      <c r="BY64" s="93" t="str">
        <f t="shared" si="27"/>
        <v/>
      </c>
      <c r="BZ64" s="31" t="str">
        <f t="shared" si="45"/>
        <v/>
      </c>
      <c r="CA64" s="93" t="str">
        <f t="shared" si="28"/>
        <v/>
      </c>
      <c r="CB64" s="31" t="str">
        <f t="shared" si="46"/>
        <v/>
      </c>
      <c r="CC64" s="93" t="str">
        <f t="shared" si="29"/>
        <v/>
      </c>
      <c r="CD64" s="31" t="str">
        <f t="shared" si="47"/>
        <v/>
      </c>
      <c r="CE64" s="93">
        <f t="shared" si="30"/>
        <v>61</v>
      </c>
      <c r="CF64" s="31">
        <f t="shared" si="48"/>
        <v>1.125</v>
      </c>
      <c r="CG64" s="93">
        <f t="shared" si="31"/>
        <v>61</v>
      </c>
      <c r="CH64" s="31">
        <f t="shared" si="49"/>
        <v>1.125</v>
      </c>
      <c r="CI64" s="93" t="str">
        <f t="shared" si="32"/>
        <v/>
      </c>
      <c r="CJ64" s="31" t="str">
        <f t="shared" si="50"/>
        <v/>
      </c>
      <c r="CK64" s="93" t="str">
        <f t="shared" si="33"/>
        <v/>
      </c>
      <c r="CL64" s="31" t="str">
        <f t="shared" si="51"/>
        <v/>
      </c>
      <c r="CM64" s="93" t="str">
        <f t="shared" si="34"/>
        <v/>
      </c>
      <c r="CN64" s="31" t="str">
        <f t="shared" si="52"/>
        <v/>
      </c>
      <c r="CO64" s="93" t="str">
        <f t="shared" si="35"/>
        <v/>
      </c>
      <c r="CP64" s="31" t="str">
        <f t="shared" si="53"/>
        <v/>
      </c>
      <c r="CQ64" s="26"/>
      <c r="CR64" s="32"/>
      <c r="CS64" s="26"/>
      <c r="CT64" s="26"/>
      <c r="CU64" s="26"/>
      <c r="CV64" s="32"/>
      <c r="CW64" s="26"/>
      <c r="CX64" s="26"/>
      <c r="CY64" s="26"/>
      <c r="CZ64" s="26"/>
    </row>
    <row r="65" ht="15.75" customHeight="1">
      <c r="A65" s="26"/>
      <c r="B65" s="26"/>
      <c r="C65" s="26"/>
      <c r="D65" s="26" t="str">
        <f t="shared" si="83"/>
        <v>Kya Screening Plant Stoppage Hone Ke Sath, Chaalu Plant Bhi Stop Ho Gya Hai?</v>
      </c>
      <c r="E65" s="83" t="s">
        <v>139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85"/>
      <c r="R65" s="26"/>
      <c r="S65" s="83" t="s">
        <v>140</v>
      </c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85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93">
        <f t="shared" si="13"/>
        <v>62</v>
      </c>
      <c r="BB65" s="31">
        <f t="shared" si="36"/>
        <v>1.128472222</v>
      </c>
      <c r="BC65" s="94">
        <f t="shared" si="14"/>
        <v>62</v>
      </c>
      <c r="BD65" s="31">
        <f t="shared" si="37"/>
        <v>1.128472222</v>
      </c>
      <c r="BE65" s="95">
        <f t="shared" si="15"/>
        <v>1.128472222</v>
      </c>
      <c r="BF65" s="93" t="str">
        <f t="shared" si="16"/>
        <v/>
      </c>
      <c r="BG65" s="31" t="str">
        <f t="shared" si="54"/>
        <v/>
      </c>
      <c r="BH65" s="95" t="str">
        <f t="shared" si="17"/>
        <v/>
      </c>
      <c r="BI65" s="93" t="str">
        <f t="shared" si="18"/>
        <v/>
      </c>
      <c r="BJ65" s="31" t="str">
        <f t="shared" si="38"/>
        <v/>
      </c>
      <c r="BK65" s="95" t="str">
        <f t="shared" si="19"/>
        <v/>
      </c>
      <c r="BL65" s="93" t="str">
        <f t="shared" si="20"/>
        <v/>
      </c>
      <c r="BM65" s="31" t="str">
        <f t="shared" si="39"/>
        <v/>
      </c>
      <c r="BN65" s="95" t="str">
        <f t="shared" si="21"/>
        <v/>
      </c>
      <c r="BO65" s="93">
        <f t="shared" si="22"/>
        <v>62</v>
      </c>
      <c r="BP65" s="31">
        <f t="shared" si="40"/>
        <v>1.128472222</v>
      </c>
      <c r="BQ65" s="93" t="str">
        <f t="shared" si="23"/>
        <v/>
      </c>
      <c r="BR65" s="31" t="str">
        <f t="shared" si="41"/>
        <v/>
      </c>
      <c r="BS65" s="93" t="str">
        <f t="shared" si="24"/>
        <v/>
      </c>
      <c r="BT65" s="31" t="str">
        <f t="shared" si="42"/>
        <v/>
      </c>
      <c r="BU65" s="93" t="str">
        <f t="shared" si="25"/>
        <v/>
      </c>
      <c r="BV65" s="31" t="str">
        <f t="shared" si="43"/>
        <v/>
      </c>
      <c r="BW65" s="93" t="str">
        <f t="shared" si="26"/>
        <v/>
      </c>
      <c r="BX65" s="31" t="str">
        <f t="shared" si="44"/>
        <v/>
      </c>
      <c r="BY65" s="93" t="str">
        <f t="shared" si="27"/>
        <v/>
      </c>
      <c r="BZ65" s="31" t="str">
        <f t="shared" si="45"/>
        <v/>
      </c>
      <c r="CA65" s="93" t="str">
        <f t="shared" si="28"/>
        <v/>
      </c>
      <c r="CB65" s="31" t="str">
        <f t="shared" si="46"/>
        <v/>
      </c>
      <c r="CC65" s="93" t="str">
        <f t="shared" si="29"/>
        <v/>
      </c>
      <c r="CD65" s="31" t="str">
        <f t="shared" si="47"/>
        <v/>
      </c>
      <c r="CE65" s="93">
        <f t="shared" si="30"/>
        <v>62</v>
      </c>
      <c r="CF65" s="31">
        <f t="shared" si="48"/>
        <v>1.128472222</v>
      </c>
      <c r="CG65" s="93">
        <f t="shared" si="31"/>
        <v>62</v>
      </c>
      <c r="CH65" s="31">
        <f t="shared" si="49"/>
        <v>1.128472222</v>
      </c>
      <c r="CI65" s="93" t="str">
        <f t="shared" si="32"/>
        <v/>
      </c>
      <c r="CJ65" s="31" t="str">
        <f t="shared" si="50"/>
        <v/>
      </c>
      <c r="CK65" s="93" t="str">
        <f t="shared" si="33"/>
        <v/>
      </c>
      <c r="CL65" s="31" t="str">
        <f t="shared" si="51"/>
        <v/>
      </c>
      <c r="CM65" s="93" t="str">
        <f t="shared" si="34"/>
        <v/>
      </c>
      <c r="CN65" s="31" t="str">
        <f t="shared" si="52"/>
        <v/>
      </c>
      <c r="CO65" s="93" t="str">
        <f t="shared" si="35"/>
        <v/>
      </c>
      <c r="CP65" s="31" t="str">
        <f t="shared" si="53"/>
        <v/>
      </c>
      <c r="CQ65" s="26"/>
      <c r="CR65" s="32"/>
      <c r="CS65" s="26"/>
      <c r="CT65" s="26"/>
      <c r="CU65" s="26"/>
      <c r="CV65" s="32"/>
      <c r="CW65" s="26"/>
      <c r="CX65" s="26"/>
      <c r="CY65" s="26"/>
      <c r="CZ65" s="26"/>
    </row>
    <row r="66" ht="15.75" customHeight="1">
      <c r="A66" s="26"/>
      <c r="B66" s="26"/>
      <c r="C66" s="26"/>
      <c r="D66" s="26" t="str">
        <f t="shared" si="83"/>
        <v>Kya Screening Plant Stoppage Hone Se Pahle Loading Plant Stoppage Se Band Tha ?</v>
      </c>
      <c r="E66" s="83" t="s">
        <v>141</v>
      </c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85"/>
      <c r="R66" s="26"/>
      <c r="S66" s="83" t="s">
        <v>142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85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93">
        <f t="shared" si="13"/>
        <v>63</v>
      </c>
      <c r="BB66" s="31">
        <f t="shared" si="36"/>
        <v>1.131944444</v>
      </c>
      <c r="BC66" s="94">
        <f t="shared" si="14"/>
        <v>63</v>
      </c>
      <c r="BD66" s="31">
        <f t="shared" si="37"/>
        <v>1.131944444</v>
      </c>
      <c r="BE66" s="95">
        <f t="shared" si="15"/>
        <v>1.131944444</v>
      </c>
      <c r="BF66" s="93" t="str">
        <f t="shared" si="16"/>
        <v/>
      </c>
      <c r="BG66" s="31" t="str">
        <f t="shared" si="54"/>
        <v/>
      </c>
      <c r="BH66" s="95" t="str">
        <f t="shared" si="17"/>
        <v/>
      </c>
      <c r="BI66" s="93" t="str">
        <f t="shared" si="18"/>
        <v/>
      </c>
      <c r="BJ66" s="31" t="str">
        <f t="shared" si="38"/>
        <v/>
      </c>
      <c r="BK66" s="95" t="str">
        <f t="shared" si="19"/>
        <v/>
      </c>
      <c r="BL66" s="93" t="str">
        <f t="shared" si="20"/>
        <v/>
      </c>
      <c r="BM66" s="31" t="str">
        <f t="shared" si="39"/>
        <v/>
      </c>
      <c r="BN66" s="95" t="str">
        <f t="shared" si="21"/>
        <v/>
      </c>
      <c r="BO66" s="93">
        <f t="shared" si="22"/>
        <v>63</v>
      </c>
      <c r="BP66" s="31">
        <f t="shared" si="40"/>
        <v>1.131944444</v>
      </c>
      <c r="BQ66" s="93" t="str">
        <f t="shared" si="23"/>
        <v/>
      </c>
      <c r="BR66" s="31" t="str">
        <f t="shared" si="41"/>
        <v/>
      </c>
      <c r="BS66" s="93" t="str">
        <f t="shared" si="24"/>
        <v/>
      </c>
      <c r="BT66" s="31" t="str">
        <f t="shared" si="42"/>
        <v/>
      </c>
      <c r="BU66" s="93" t="str">
        <f t="shared" si="25"/>
        <v/>
      </c>
      <c r="BV66" s="31" t="str">
        <f t="shared" si="43"/>
        <v/>
      </c>
      <c r="BW66" s="93" t="str">
        <f t="shared" si="26"/>
        <v/>
      </c>
      <c r="BX66" s="31" t="str">
        <f t="shared" si="44"/>
        <v/>
      </c>
      <c r="BY66" s="93" t="str">
        <f t="shared" si="27"/>
        <v/>
      </c>
      <c r="BZ66" s="31" t="str">
        <f t="shared" si="45"/>
        <v/>
      </c>
      <c r="CA66" s="93" t="str">
        <f t="shared" si="28"/>
        <v/>
      </c>
      <c r="CB66" s="31" t="str">
        <f t="shared" si="46"/>
        <v/>
      </c>
      <c r="CC66" s="93" t="str">
        <f t="shared" si="29"/>
        <v/>
      </c>
      <c r="CD66" s="31" t="str">
        <f t="shared" si="47"/>
        <v/>
      </c>
      <c r="CE66" s="93">
        <f t="shared" si="30"/>
        <v>63</v>
      </c>
      <c r="CF66" s="31">
        <f t="shared" si="48"/>
        <v>1.131944444</v>
      </c>
      <c r="CG66" s="93">
        <f t="shared" si="31"/>
        <v>63</v>
      </c>
      <c r="CH66" s="31">
        <f t="shared" si="49"/>
        <v>1.131944444</v>
      </c>
      <c r="CI66" s="93" t="str">
        <f t="shared" si="32"/>
        <v/>
      </c>
      <c r="CJ66" s="31" t="str">
        <f t="shared" si="50"/>
        <v/>
      </c>
      <c r="CK66" s="93" t="str">
        <f t="shared" si="33"/>
        <v/>
      </c>
      <c r="CL66" s="31" t="str">
        <f t="shared" si="51"/>
        <v/>
      </c>
      <c r="CM66" s="93" t="str">
        <f t="shared" si="34"/>
        <v/>
      </c>
      <c r="CN66" s="31" t="str">
        <f t="shared" si="52"/>
        <v/>
      </c>
      <c r="CO66" s="93" t="str">
        <f t="shared" si="35"/>
        <v/>
      </c>
      <c r="CP66" s="31" t="str">
        <f t="shared" si="53"/>
        <v/>
      </c>
      <c r="CQ66" s="26"/>
      <c r="CR66" s="32"/>
      <c r="CS66" s="26"/>
      <c r="CT66" s="26"/>
      <c r="CU66" s="26"/>
      <c r="CV66" s="32"/>
      <c r="CW66" s="26"/>
      <c r="CX66" s="26"/>
      <c r="CY66" s="26"/>
      <c r="CZ66" s="26"/>
    </row>
    <row r="67" ht="15.75" customHeight="1">
      <c r="A67" s="26"/>
      <c r="B67" s="26"/>
      <c r="C67" s="26"/>
      <c r="D67" s="26" t="str">
        <f t="shared" si="83"/>
        <v>Kya Plant, Loading Plant Stoppage Se Band Hua Hai ?</v>
      </c>
      <c r="E67" s="83" t="s">
        <v>143</v>
      </c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85"/>
      <c r="R67" s="26"/>
      <c r="S67" s="83" t="s">
        <v>144</v>
      </c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85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93">
        <f t="shared" si="13"/>
        <v>64</v>
      </c>
      <c r="BB67" s="31">
        <f t="shared" si="36"/>
        <v>1.135416667</v>
      </c>
      <c r="BC67" s="94">
        <f t="shared" si="14"/>
        <v>64</v>
      </c>
      <c r="BD67" s="31">
        <f t="shared" si="37"/>
        <v>1.135416667</v>
      </c>
      <c r="BE67" s="95">
        <f t="shared" si="15"/>
        <v>1.135416667</v>
      </c>
      <c r="BF67" s="93" t="str">
        <f t="shared" si="16"/>
        <v/>
      </c>
      <c r="BG67" s="31" t="str">
        <f t="shared" si="54"/>
        <v/>
      </c>
      <c r="BH67" s="95" t="str">
        <f t="shared" si="17"/>
        <v/>
      </c>
      <c r="BI67" s="93" t="str">
        <f t="shared" si="18"/>
        <v/>
      </c>
      <c r="BJ67" s="31" t="str">
        <f t="shared" si="38"/>
        <v/>
      </c>
      <c r="BK67" s="95" t="str">
        <f t="shared" si="19"/>
        <v/>
      </c>
      <c r="BL67" s="93" t="str">
        <f t="shared" si="20"/>
        <v/>
      </c>
      <c r="BM67" s="31" t="str">
        <f t="shared" si="39"/>
        <v/>
      </c>
      <c r="BN67" s="95" t="str">
        <f t="shared" si="21"/>
        <v/>
      </c>
      <c r="BO67" s="93">
        <f t="shared" si="22"/>
        <v>64</v>
      </c>
      <c r="BP67" s="31">
        <f t="shared" si="40"/>
        <v>1.135416667</v>
      </c>
      <c r="BQ67" s="93" t="str">
        <f t="shared" si="23"/>
        <v/>
      </c>
      <c r="BR67" s="31" t="str">
        <f t="shared" si="41"/>
        <v/>
      </c>
      <c r="BS67" s="93" t="str">
        <f t="shared" si="24"/>
        <v/>
      </c>
      <c r="BT67" s="31" t="str">
        <f t="shared" si="42"/>
        <v/>
      </c>
      <c r="BU67" s="93" t="str">
        <f t="shared" si="25"/>
        <v/>
      </c>
      <c r="BV67" s="31" t="str">
        <f t="shared" si="43"/>
        <v/>
      </c>
      <c r="BW67" s="93" t="str">
        <f t="shared" si="26"/>
        <v/>
      </c>
      <c r="BX67" s="31" t="str">
        <f t="shared" si="44"/>
        <v/>
      </c>
      <c r="BY67" s="93" t="str">
        <f t="shared" si="27"/>
        <v/>
      </c>
      <c r="BZ67" s="31" t="str">
        <f t="shared" si="45"/>
        <v/>
      </c>
      <c r="CA67" s="93" t="str">
        <f t="shared" si="28"/>
        <v/>
      </c>
      <c r="CB67" s="31" t="str">
        <f t="shared" si="46"/>
        <v/>
      </c>
      <c r="CC67" s="93" t="str">
        <f t="shared" si="29"/>
        <v/>
      </c>
      <c r="CD67" s="31" t="str">
        <f t="shared" si="47"/>
        <v/>
      </c>
      <c r="CE67" s="93">
        <f t="shared" si="30"/>
        <v>64</v>
      </c>
      <c r="CF67" s="31">
        <f t="shared" si="48"/>
        <v>1.135416667</v>
      </c>
      <c r="CG67" s="93">
        <f t="shared" si="31"/>
        <v>64</v>
      </c>
      <c r="CH67" s="31">
        <f t="shared" si="49"/>
        <v>1.135416667</v>
      </c>
      <c r="CI67" s="93" t="str">
        <f t="shared" si="32"/>
        <v/>
      </c>
      <c r="CJ67" s="31" t="str">
        <f t="shared" si="50"/>
        <v/>
      </c>
      <c r="CK67" s="93" t="str">
        <f t="shared" si="33"/>
        <v/>
      </c>
      <c r="CL67" s="31" t="str">
        <f t="shared" si="51"/>
        <v/>
      </c>
      <c r="CM67" s="93" t="str">
        <f t="shared" si="34"/>
        <v/>
      </c>
      <c r="CN67" s="31" t="str">
        <f t="shared" si="52"/>
        <v/>
      </c>
      <c r="CO67" s="93" t="str">
        <f t="shared" si="35"/>
        <v/>
      </c>
      <c r="CP67" s="31" t="str">
        <f t="shared" si="53"/>
        <v/>
      </c>
      <c r="CQ67" s="26"/>
      <c r="CR67" s="32"/>
      <c r="CS67" s="26"/>
      <c r="CT67" s="26"/>
      <c r="CU67" s="26"/>
      <c r="CV67" s="32"/>
      <c r="CW67" s="26"/>
      <c r="CX67" s="26"/>
      <c r="CY67" s="26"/>
      <c r="CZ67" s="26"/>
    </row>
    <row r="68" ht="15.75" customHeight="1">
      <c r="A68" s="26"/>
      <c r="B68" s="26"/>
      <c r="C68" s="26"/>
      <c r="D68" s="26" t="str">
        <f t="shared" si="83"/>
        <v>Kya Plant,Screening Plant Stoppage Se Band Hua Hai ?</v>
      </c>
      <c r="E68" s="83" t="s">
        <v>145</v>
      </c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85"/>
      <c r="R68" s="26"/>
      <c r="S68" s="83" t="s">
        <v>146</v>
      </c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85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93">
        <f t="shared" si="13"/>
        <v>65</v>
      </c>
      <c r="BB68" s="31">
        <f t="shared" si="36"/>
        <v>1.138888889</v>
      </c>
      <c r="BC68" s="94">
        <f t="shared" si="14"/>
        <v>65</v>
      </c>
      <c r="BD68" s="31">
        <f t="shared" si="37"/>
        <v>1.138888889</v>
      </c>
      <c r="BE68" s="95">
        <f t="shared" si="15"/>
        <v>1.138888889</v>
      </c>
      <c r="BF68" s="93" t="str">
        <f t="shared" si="16"/>
        <v/>
      </c>
      <c r="BG68" s="31" t="str">
        <f t="shared" si="54"/>
        <v/>
      </c>
      <c r="BH68" s="95" t="str">
        <f t="shared" si="17"/>
        <v/>
      </c>
      <c r="BI68" s="93" t="str">
        <f t="shared" si="18"/>
        <v/>
      </c>
      <c r="BJ68" s="31" t="str">
        <f t="shared" si="38"/>
        <v/>
      </c>
      <c r="BK68" s="95" t="str">
        <f t="shared" si="19"/>
        <v/>
      </c>
      <c r="BL68" s="93" t="str">
        <f t="shared" si="20"/>
        <v/>
      </c>
      <c r="BM68" s="31" t="str">
        <f t="shared" si="39"/>
        <v/>
      </c>
      <c r="BN68" s="95" t="str">
        <f t="shared" si="21"/>
        <v/>
      </c>
      <c r="BO68" s="93">
        <f t="shared" si="22"/>
        <v>65</v>
      </c>
      <c r="BP68" s="31">
        <f t="shared" si="40"/>
        <v>1.138888889</v>
      </c>
      <c r="BQ68" s="93" t="str">
        <f t="shared" si="23"/>
        <v/>
      </c>
      <c r="BR68" s="31" t="str">
        <f t="shared" si="41"/>
        <v/>
      </c>
      <c r="BS68" s="93" t="str">
        <f t="shared" si="24"/>
        <v/>
      </c>
      <c r="BT68" s="31" t="str">
        <f t="shared" si="42"/>
        <v/>
      </c>
      <c r="BU68" s="93" t="str">
        <f t="shared" si="25"/>
        <v/>
      </c>
      <c r="BV68" s="31" t="str">
        <f t="shared" si="43"/>
        <v/>
      </c>
      <c r="BW68" s="93" t="str">
        <f t="shared" si="26"/>
        <v/>
      </c>
      <c r="BX68" s="31" t="str">
        <f t="shared" si="44"/>
        <v/>
      </c>
      <c r="BY68" s="93" t="str">
        <f t="shared" si="27"/>
        <v/>
      </c>
      <c r="BZ68" s="31" t="str">
        <f t="shared" si="45"/>
        <v/>
      </c>
      <c r="CA68" s="93" t="str">
        <f t="shared" si="28"/>
        <v/>
      </c>
      <c r="CB68" s="31" t="str">
        <f t="shared" si="46"/>
        <v/>
      </c>
      <c r="CC68" s="93" t="str">
        <f t="shared" si="29"/>
        <v/>
      </c>
      <c r="CD68" s="31" t="str">
        <f t="shared" si="47"/>
        <v/>
      </c>
      <c r="CE68" s="93">
        <f t="shared" si="30"/>
        <v>65</v>
      </c>
      <c r="CF68" s="31">
        <f t="shared" si="48"/>
        <v>1.138888889</v>
      </c>
      <c r="CG68" s="93">
        <f t="shared" si="31"/>
        <v>65</v>
      </c>
      <c r="CH68" s="31">
        <f t="shared" si="49"/>
        <v>1.138888889</v>
      </c>
      <c r="CI68" s="93" t="str">
        <f t="shared" si="32"/>
        <v/>
      </c>
      <c r="CJ68" s="31" t="str">
        <f t="shared" si="50"/>
        <v/>
      </c>
      <c r="CK68" s="93" t="str">
        <f t="shared" si="33"/>
        <v/>
      </c>
      <c r="CL68" s="31" t="str">
        <f t="shared" si="51"/>
        <v/>
      </c>
      <c r="CM68" s="93" t="str">
        <f t="shared" si="34"/>
        <v/>
      </c>
      <c r="CN68" s="31" t="str">
        <f t="shared" si="52"/>
        <v/>
      </c>
      <c r="CO68" s="93" t="str">
        <f t="shared" si="35"/>
        <v/>
      </c>
      <c r="CP68" s="31" t="str">
        <f t="shared" si="53"/>
        <v/>
      </c>
      <c r="CQ68" s="26"/>
      <c r="CR68" s="32"/>
      <c r="CS68" s="26"/>
      <c r="CT68" s="26"/>
      <c r="CU68" s="26"/>
      <c r="CV68" s="32"/>
      <c r="CW68" s="26"/>
      <c r="CX68" s="26"/>
      <c r="CY68" s="26"/>
      <c r="CZ68" s="26"/>
    </row>
    <row r="69" ht="15.75" customHeight="1">
      <c r="A69" s="26"/>
      <c r="B69" s="26"/>
      <c r="C69" s="26"/>
      <c r="D69" s="26" t="str">
        <f t="shared" si="83"/>
        <v>Means Current Shift End Ho Gaya Hai ,Please Logsheet Save kar lijiye</v>
      </c>
      <c r="E69" s="83" t="s">
        <v>147</v>
      </c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85"/>
      <c r="R69" s="26"/>
      <c r="S69" s="83" t="s">
        <v>148</v>
      </c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85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93">
        <f t="shared" si="13"/>
        <v>66</v>
      </c>
      <c r="BB69" s="31">
        <f t="shared" si="36"/>
        <v>1.142361111</v>
      </c>
      <c r="BC69" s="94">
        <f t="shared" si="14"/>
        <v>66</v>
      </c>
      <c r="BD69" s="31">
        <f t="shared" si="37"/>
        <v>1.142361111</v>
      </c>
      <c r="BE69" s="95">
        <f t="shared" si="15"/>
        <v>1.142361111</v>
      </c>
      <c r="BF69" s="93" t="str">
        <f t="shared" si="16"/>
        <v/>
      </c>
      <c r="BG69" s="31" t="str">
        <f t="shared" si="54"/>
        <v/>
      </c>
      <c r="BH69" s="95" t="str">
        <f t="shared" si="17"/>
        <v/>
      </c>
      <c r="BI69" s="93" t="str">
        <f t="shared" si="18"/>
        <v/>
      </c>
      <c r="BJ69" s="31" t="str">
        <f t="shared" si="38"/>
        <v/>
      </c>
      <c r="BK69" s="95" t="str">
        <f t="shared" si="19"/>
        <v/>
      </c>
      <c r="BL69" s="93" t="str">
        <f t="shared" si="20"/>
        <v/>
      </c>
      <c r="BM69" s="31" t="str">
        <f t="shared" si="39"/>
        <v/>
      </c>
      <c r="BN69" s="95" t="str">
        <f t="shared" si="21"/>
        <v/>
      </c>
      <c r="BO69" s="93">
        <f t="shared" si="22"/>
        <v>66</v>
      </c>
      <c r="BP69" s="31">
        <f t="shared" si="40"/>
        <v>1.142361111</v>
      </c>
      <c r="BQ69" s="93" t="str">
        <f t="shared" si="23"/>
        <v/>
      </c>
      <c r="BR69" s="31" t="str">
        <f t="shared" si="41"/>
        <v/>
      </c>
      <c r="BS69" s="93" t="str">
        <f t="shared" si="24"/>
        <v/>
      </c>
      <c r="BT69" s="31" t="str">
        <f t="shared" si="42"/>
        <v/>
      </c>
      <c r="BU69" s="93" t="str">
        <f t="shared" si="25"/>
        <v/>
      </c>
      <c r="BV69" s="31" t="str">
        <f t="shared" si="43"/>
        <v/>
      </c>
      <c r="BW69" s="93" t="str">
        <f t="shared" si="26"/>
        <v/>
      </c>
      <c r="BX69" s="31" t="str">
        <f t="shared" si="44"/>
        <v/>
      </c>
      <c r="BY69" s="93" t="str">
        <f t="shared" si="27"/>
        <v/>
      </c>
      <c r="BZ69" s="31" t="str">
        <f t="shared" si="45"/>
        <v/>
      </c>
      <c r="CA69" s="93" t="str">
        <f t="shared" si="28"/>
        <v/>
      </c>
      <c r="CB69" s="31" t="str">
        <f t="shared" si="46"/>
        <v/>
      </c>
      <c r="CC69" s="93" t="str">
        <f t="shared" si="29"/>
        <v/>
      </c>
      <c r="CD69" s="31" t="str">
        <f t="shared" si="47"/>
        <v/>
      </c>
      <c r="CE69" s="93">
        <f t="shared" si="30"/>
        <v>66</v>
      </c>
      <c r="CF69" s="31">
        <f t="shared" si="48"/>
        <v>1.142361111</v>
      </c>
      <c r="CG69" s="93">
        <f t="shared" si="31"/>
        <v>66</v>
      </c>
      <c r="CH69" s="31">
        <f t="shared" si="49"/>
        <v>1.142361111</v>
      </c>
      <c r="CI69" s="93" t="str">
        <f t="shared" si="32"/>
        <v/>
      </c>
      <c r="CJ69" s="31" t="str">
        <f t="shared" si="50"/>
        <v/>
      </c>
      <c r="CK69" s="93" t="str">
        <f t="shared" si="33"/>
        <v/>
      </c>
      <c r="CL69" s="31" t="str">
        <f t="shared" si="51"/>
        <v/>
      </c>
      <c r="CM69" s="93" t="str">
        <f t="shared" si="34"/>
        <v/>
      </c>
      <c r="CN69" s="31" t="str">
        <f t="shared" si="52"/>
        <v/>
      </c>
      <c r="CO69" s="93" t="str">
        <f t="shared" si="35"/>
        <v/>
      </c>
      <c r="CP69" s="31" t="str">
        <f t="shared" si="53"/>
        <v/>
      </c>
      <c r="CQ69" s="26"/>
      <c r="CR69" s="32"/>
      <c r="CS69" s="26"/>
      <c r="CT69" s="26"/>
      <c r="CU69" s="26"/>
      <c r="CV69" s="32"/>
      <c r="CW69" s="26"/>
      <c r="CX69" s="26"/>
      <c r="CY69" s="26"/>
      <c r="CZ69" s="26"/>
    </row>
    <row r="70" ht="15.75" customHeight="1">
      <c r="A70" s="26"/>
      <c r="B70" s="26"/>
      <c r="C70" s="26"/>
      <c r="D70" s="26" t="str">
        <f t="shared" si="83"/>
        <v>Loading Plant Stappage End Ho Gya Hai</v>
      </c>
      <c r="E70" s="83" t="s">
        <v>149</v>
      </c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85"/>
      <c r="R70" s="26"/>
      <c r="S70" s="83" t="s">
        <v>150</v>
      </c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85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93">
        <f t="shared" si="13"/>
        <v>67</v>
      </c>
      <c r="BB70" s="31">
        <f t="shared" si="36"/>
        <v>1.145833333</v>
      </c>
      <c r="BC70" s="94">
        <f t="shared" si="14"/>
        <v>67</v>
      </c>
      <c r="BD70" s="31">
        <f t="shared" si="37"/>
        <v>1.145833333</v>
      </c>
      <c r="BE70" s="95">
        <f t="shared" si="15"/>
        <v>1.145833333</v>
      </c>
      <c r="BF70" s="93" t="str">
        <f t="shared" si="16"/>
        <v/>
      </c>
      <c r="BG70" s="31" t="str">
        <f t="shared" si="54"/>
        <v/>
      </c>
      <c r="BH70" s="95" t="str">
        <f t="shared" si="17"/>
        <v/>
      </c>
      <c r="BI70" s="93" t="str">
        <f t="shared" si="18"/>
        <v/>
      </c>
      <c r="BJ70" s="31" t="str">
        <f t="shared" si="38"/>
        <v/>
      </c>
      <c r="BK70" s="95" t="str">
        <f t="shared" si="19"/>
        <v/>
      </c>
      <c r="BL70" s="93" t="str">
        <f t="shared" si="20"/>
        <v/>
      </c>
      <c r="BM70" s="31" t="str">
        <f t="shared" si="39"/>
        <v/>
      </c>
      <c r="BN70" s="95" t="str">
        <f t="shared" si="21"/>
        <v/>
      </c>
      <c r="BO70" s="93">
        <f t="shared" si="22"/>
        <v>67</v>
      </c>
      <c r="BP70" s="31">
        <f t="shared" si="40"/>
        <v>1.145833333</v>
      </c>
      <c r="BQ70" s="93" t="str">
        <f t="shared" si="23"/>
        <v/>
      </c>
      <c r="BR70" s="31" t="str">
        <f t="shared" si="41"/>
        <v/>
      </c>
      <c r="BS70" s="93" t="str">
        <f t="shared" si="24"/>
        <v/>
      </c>
      <c r="BT70" s="31" t="str">
        <f t="shared" si="42"/>
        <v/>
      </c>
      <c r="BU70" s="93" t="str">
        <f t="shared" si="25"/>
        <v/>
      </c>
      <c r="BV70" s="31" t="str">
        <f t="shared" si="43"/>
        <v/>
      </c>
      <c r="BW70" s="93" t="str">
        <f t="shared" si="26"/>
        <v/>
      </c>
      <c r="BX70" s="31" t="str">
        <f t="shared" si="44"/>
        <v/>
      </c>
      <c r="BY70" s="93" t="str">
        <f t="shared" si="27"/>
        <v/>
      </c>
      <c r="BZ70" s="31" t="str">
        <f t="shared" si="45"/>
        <v/>
      </c>
      <c r="CA70" s="93" t="str">
        <f t="shared" si="28"/>
        <v/>
      </c>
      <c r="CB70" s="31" t="str">
        <f t="shared" si="46"/>
        <v/>
      </c>
      <c r="CC70" s="93" t="str">
        <f t="shared" si="29"/>
        <v/>
      </c>
      <c r="CD70" s="31" t="str">
        <f t="shared" si="47"/>
        <v/>
      </c>
      <c r="CE70" s="93">
        <f t="shared" si="30"/>
        <v>67</v>
      </c>
      <c r="CF70" s="31">
        <f t="shared" si="48"/>
        <v>1.145833333</v>
      </c>
      <c r="CG70" s="93">
        <f t="shared" si="31"/>
        <v>67</v>
      </c>
      <c r="CH70" s="31">
        <f t="shared" si="49"/>
        <v>1.145833333</v>
      </c>
      <c r="CI70" s="93" t="str">
        <f t="shared" si="32"/>
        <v/>
      </c>
      <c r="CJ70" s="31" t="str">
        <f t="shared" si="50"/>
        <v/>
      </c>
      <c r="CK70" s="93" t="str">
        <f t="shared" si="33"/>
        <v/>
      </c>
      <c r="CL70" s="31" t="str">
        <f t="shared" si="51"/>
        <v/>
      </c>
      <c r="CM70" s="93" t="str">
        <f t="shared" si="34"/>
        <v/>
      </c>
      <c r="CN70" s="31" t="str">
        <f t="shared" si="52"/>
        <v/>
      </c>
      <c r="CO70" s="93" t="str">
        <f t="shared" si="35"/>
        <v/>
      </c>
      <c r="CP70" s="31" t="str">
        <f t="shared" si="53"/>
        <v/>
      </c>
      <c r="CQ70" s="26"/>
      <c r="CR70" s="32"/>
      <c r="CS70" s="26"/>
      <c r="CT70" s="26"/>
      <c r="CU70" s="26"/>
      <c r="CV70" s="32"/>
      <c r="CW70" s="26"/>
      <c r="CX70" s="26"/>
      <c r="CY70" s="26"/>
      <c r="CZ70" s="26"/>
    </row>
    <row r="71" ht="15.75" customHeight="1">
      <c r="A71" s="26"/>
      <c r="B71" s="26"/>
      <c r="C71" s="26"/>
      <c r="D71" s="26" t="str">
        <f t="shared" si="83"/>
        <v>Kya Plant,Ab Fir Se Screening Plant Stoppage Se Band  Ho Gya Hai?</v>
      </c>
      <c r="E71" s="83" t="s">
        <v>151</v>
      </c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85"/>
      <c r="R71" s="26"/>
      <c r="S71" s="83" t="s">
        <v>152</v>
      </c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85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93">
        <f t="shared" si="13"/>
        <v>68</v>
      </c>
      <c r="BB71" s="31">
        <f t="shared" si="36"/>
        <v>1.149305556</v>
      </c>
      <c r="BC71" s="94">
        <f t="shared" si="14"/>
        <v>68</v>
      </c>
      <c r="BD71" s="31">
        <f t="shared" si="37"/>
        <v>1.149305556</v>
      </c>
      <c r="BE71" s="95">
        <f t="shared" si="15"/>
        <v>1.149305556</v>
      </c>
      <c r="BF71" s="93" t="str">
        <f t="shared" si="16"/>
        <v/>
      </c>
      <c r="BG71" s="31" t="str">
        <f t="shared" si="54"/>
        <v/>
      </c>
      <c r="BH71" s="95" t="str">
        <f t="shared" si="17"/>
        <v/>
      </c>
      <c r="BI71" s="93" t="str">
        <f t="shared" si="18"/>
        <v/>
      </c>
      <c r="BJ71" s="31" t="str">
        <f t="shared" si="38"/>
        <v/>
      </c>
      <c r="BK71" s="95" t="str">
        <f t="shared" si="19"/>
        <v/>
      </c>
      <c r="BL71" s="93" t="str">
        <f t="shared" si="20"/>
        <v/>
      </c>
      <c r="BM71" s="31" t="str">
        <f t="shared" si="39"/>
        <v/>
      </c>
      <c r="BN71" s="95" t="str">
        <f t="shared" si="21"/>
        <v/>
      </c>
      <c r="BO71" s="93">
        <f t="shared" si="22"/>
        <v>68</v>
      </c>
      <c r="BP71" s="31">
        <f t="shared" si="40"/>
        <v>1.149305556</v>
      </c>
      <c r="BQ71" s="93" t="str">
        <f t="shared" si="23"/>
        <v/>
      </c>
      <c r="BR71" s="31" t="str">
        <f t="shared" si="41"/>
        <v/>
      </c>
      <c r="BS71" s="93" t="str">
        <f t="shared" si="24"/>
        <v/>
      </c>
      <c r="BT71" s="31" t="str">
        <f t="shared" si="42"/>
        <v/>
      </c>
      <c r="BU71" s="93" t="str">
        <f t="shared" si="25"/>
        <v/>
      </c>
      <c r="BV71" s="31" t="str">
        <f t="shared" si="43"/>
        <v/>
      </c>
      <c r="BW71" s="93" t="str">
        <f t="shared" si="26"/>
        <v/>
      </c>
      <c r="BX71" s="31" t="str">
        <f t="shared" si="44"/>
        <v/>
      </c>
      <c r="BY71" s="93" t="str">
        <f t="shared" si="27"/>
        <v/>
      </c>
      <c r="BZ71" s="31" t="str">
        <f t="shared" si="45"/>
        <v/>
      </c>
      <c r="CA71" s="93" t="str">
        <f t="shared" si="28"/>
        <v/>
      </c>
      <c r="CB71" s="31" t="str">
        <f t="shared" si="46"/>
        <v/>
      </c>
      <c r="CC71" s="93" t="str">
        <f t="shared" si="29"/>
        <v/>
      </c>
      <c r="CD71" s="31" t="str">
        <f t="shared" si="47"/>
        <v/>
      </c>
      <c r="CE71" s="93">
        <f t="shared" si="30"/>
        <v>68</v>
      </c>
      <c r="CF71" s="31">
        <f t="shared" si="48"/>
        <v>1.149305556</v>
      </c>
      <c r="CG71" s="93">
        <f t="shared" si="31"/>
        <v>68</v>
      </c>
      <c r="CH71" s="31">
        <f t="shared" si="49"/>
        <v>1.149305556</v>
      </c>
      <c r="CI71" s="93" t="str">
        <f t="shared" si="32"/>
        <v/>
      </c>
      <c r="CJ71" s="31" t="str">
        <f t="shared" si="50"/>
        <v/>
      </c>
      <c r="CK71" s="93" t="str">
        <f t="shared" si="33"/>
        <v/>
      </c>
      <c r="CL71" s="31" t="str">
        <f t="shared" si="51"/>
        <v/>
      </c>
      <c r="CM71" s="93" t="str">
        <f t="shared" si="34"/>
        <v/>
      </c>
      <c r="CN71" s="31" t="str">
        <f t="shared" si="52"/>
        <v/>
      </c>
      <c r="CO71" s="93" t="str">
        <f t="shared" si="35"/>
        <v/>
      </c>
      <c r="CP71" s="31" t="str">
        <f t="shared" si="53"/>
        <v/>
      </c>
      <c r="CQ71" s="26"/>
      <c r="CR71" s="32"/>
      <c r="CS71" s="26"/>
      <c r="CT71" s="26"/>
      <c r="CU71" s="26"/>
      <c r="CV71" s="32"/>
      <c r="CW71" s="26"/>
      <c r="CX71" s="26"/>
      <c r="CY71" s="26"/>
      <c r="CZ71" s="26"/>
    </row>
    <row r="72" ht="15.75" customHeight="1">
      <c r="A72" s="26"/>
      <c r="B72" s="26"/>
      <c r="C72" s="26"/>
      <c r="D72" s="26" t="str">
        <f t="shared" si="83"/>
        <v>Kya Plant, Common Lines Ke Sath ,Stat Ho Rha Hai?</v>
      </c>
      <c r="E72" s="83" t="s">
        <v>153</v>
      </c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85"/>
      <c r="R72" s="26"/>
      <c r="S72" s="83" t="s">
        <v>154</v>
      </c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85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93">
        <f t="shared" si="13"/>
        <v>69</v>
      </c>
      <c r="BB72" s="31">
        <f t="shared" si="36"/>
        <v>1.152777778</v>
      </c>
      <c r="BC72" s="94">
        <f t="shared" si="14"/>
        <v>69</v>
      </c>
      <c r="BD72" s="31">
        <f t="shared" si="37"/>
        <v>1.152777778</v>
      </c>
      <c r="BE72" s="95">
        <f t="shared" si="15"/>
        <v>1.152777778</v>
      </c>
      <c r="BF72" s="93" t="str">
        <f t="shared" si="16"/>
        <v/>
      </c>
      <c r="BG72" s="31" t="str">
        <f t="shared" si="54"/>
        <v/>
      </c>
      <c r="BH72" s="95" t="str">
        <f t="shared" si="17"/>
        <v/>
      </c>
      <c r="BI72" s="93" t="str">
        <f t="shared" si="18"/>
        <v/>
      </c>
      <c r="BJ72" s="31" t="str">
        <f t="shared" si="38"/>
        <v/>
      </c>
      <c r="BK72" s="95" t="str">
        <f t="shared" si="19"/>
        <v/>
      </c>
      <c r="BL72" s="93" t="str">
        <f t="shared" si="20"/>
        <v/>
      </c>
      <c r="BM72" s="31" t="str">
        <f t="shared" si="39"/>
        <v/>
      </c>
      <c r="BN72" s="95" t="str">
        <f t="shared" si="21"/>
        <v/>
      </c>
      <c r="BO72" s="93">
        <f t="shared" si="22"/>
        <v>69</v>
      </c>
      <c r="BP72" s="31">
        <f t="shared" si="40"/>
        <v>1.152777778</v>
      </c>
      <c r="BQ72" s="93" t="str">
        <f t="shared" si="23"/>
        <v/>
      </c>
      <c r="BR72" s="31" t="str">
        <f t="shared" si="41"/>
        <v/>
      </c>
      <c r="BS72" s="93" t="str">
        <f t="shared" si="24"/>
        <v/>
      </c>
      <c r="BT72" s="31" t="str">
        <f t="shared" si="42"/>
        <v/>
      </c>
      <c r="BU72" s="93" t="str">
        <f t="shared" si="25"/>
        <v/>
      </c>
      <c r="BV72" s="31" t="str">
        <f t="shared" si="43"/>
        <v/>
      </c>
      <c r="BW72" s="93" t="str">
        <f t="shared" si="26"/>
        <v/>
      </c>
      <c r="BX72" s="31" t="str">
        <f t="shared" si="44"/>
        <v/>
      </c>
      <c r="BY72" s="93" t="str">
        <f t="shared" si="27"/>
        <v/>
      </c>
      <c r="BZ72" s="31" t="str">
        <f t="shared" si="45"/>
        <v/>
      </c>
      <c r="CA72" s="93" t="str">
        <f t="shared" si="28"/>
        <v/>
      </c>
      <c r="CB72" s="31" t="str">
        <f t="shared" si="46"/>
        <v/>
      </c>
      <c r="CC72" s="93" t="str">
        <f t="shared" si="29"/>
        <v/>
      </c>
      <c r="CD72" s="31" t="str">
        <f t="shared" si="47"/>
        <v/>
      </c>
      <c r="CE72" s="93">
        <f t="shared" si="30"/>
        <v>69</v>
      </c>
      <c r="CF72" s="31">
        <f t="shared" si="48"/>
        <v>1.152777778</v>
      </c>
      <c r="CG72" s="93">
        <f t="shared" si="31"/>
        <v>69</v>
      </c>
      <c r="CH72" s="31">
        <f t="shared" si="49"/>
        <v>1.152777778</v>
      </c>
      <c r="CI72" s="93" t="str">
        <f t="shared" si="32"/>
        <v/>
      </c>
      <c r="CJ72" s="31" t="str">
        <f t="shared" si="50"/>
        <v/>
      </c>
      <c r="CK72" s="93" t="str">
        <f t="shared" si="33"/>
        <v/>
      </c>
      <c r="CL72" s="31" t="str">
        <f t="shared" si="51"/>
        <v/>
      </c>
      <c r="CM72" s="93" t="str">
        <f t="shared" si="34"/>
        <v/>
      </c>
      <c r="CN72" s="31" t="str">
        <f t="shared" si="52"/>
        <v/>
      </c>
      <c r="CO72" s="93" t="str">
        <f t="shared" si="35"/>
        <v/>
      </c>
      <c r="CP72" s="31" t="str">
        <f t="shared" si="53"/>
        <v/>
      </c>
      <c r="CQ72" s="26"/>
      <c r="CR72" s="32"/>
      <c r="CS72" s="26"/>
      <c r="CT72" s="26"/>
      <c r="CU72" s="26"/>
      <c r="CV72" s="32"/>
      <c r="CW72" s="26"/>
      <c r="CX72" s="26"/>
      <c r="CY72" s="26"/>
      <c r="CZ72" s="26"/>
    </row>
    <row r="73" ht="15.75" customHeight="1">
      <c r="A73" s="26"/>
      <c r="B73" s="26"/>
      <c r="C73" s="26"/>
      <c r="D73" s="26" t="str">
        <f t="shared" si="83"/>
        <v>Screening Plant Stappage End Ho Gya Hai</v>
      </c>
      <c r="E73" s="83" t="s">
        <v>155</v>
      </c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85"/>
      <c r="R73" s="26"/>
      <c r="S73" s="83" t="s">
        <v>156</v>
      </c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85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93">
        <f t="shared" si="13"/>
        <v>70</v>
      </c>
      <c r="BB73" s="31">
        <f t="shared" si="36"/>
        <v>1.15625</v>
      </c>
      <c r="BC73" s="94">
        <f t="shared" si="14"/>
        <v>70</v>
      </c>
      <c r="BD73" s="31">
        <f t="shared" si="37"/>
        <v>1.15625</v>
      </c>
      <c r="BE73" s="95">
        <f t="shared" si="15"/>
        <v>1.15625</v>
      </c>
      <c r="BF73" s="93" t="str">
        <f t="shared" si="16"/>
        <v/>
      </c>
      <c r="BG73" s="31" t="str">
        <f t="shared" si="54"/>
        <v/>
      </c>
      <c r="BH73" s="95" t="str">
        <f t="shared" si="17"/>
        <v/>
      </c>
      <c r="BI73" s="93" t="str">
        <f t="shared" si="18"/>
        <v/>
      </c>
      <c r="BJ73" s="31" t="str">
        <f t="shared" si="38"/>
        <v/>
      </c>
      <c r="BK73" s="95" t="str">
        <f t="shared" si="19"/>
        <v/>
      </c>
      <c r="BL73" s="93" t="str">
        <f t="shared" si="20"/>
        <v/>
      </c>
      <c r="BM73" s="31" t="str">
        <f t="shared" si="39"/>
        <v/>
      </c>
      <c r="BN73" s="95" t="str">
        <f t="shared" si="21"/>
        <v/>
      </c>
      <c r="BO73" s="93">
        <f t="shared" si="22"/>
        <v>70</v>
      </c>
      <c r="BP73" s="31">
        <f t="shared" si="40"/>
        <v>1.15625</v>
      </c>
      <c r="BQ73" s="93" t="str">
        <f t="shared" si="23"/>
        <v/>
      </c>
      <c r="BR73" s="31" t="str">
        <f t="shared" si="41"/>
        <v/>
      </c>
      <c r="BS73" s="93" t="str">
        <f t="shared" si="24"/>
        <v/>
      </c>
      <c r="BT73" s="31" t="str">
        <f t="shared" si="42"/>
        <v/>
      </c>
      <c r="BU73" s="93" t="str">
        <f t="shared" si="25"/>
        <v/>
      </c>
      <c r="BV73" s="31" t="str">
        <f t="shared" si="43"/>
        <v/>
      </c>
      <c r="BW73" s="93" t="str">
        <f t="shared" si="26"/>
        <v/>
      </c>
      <c r="BX73" s="31" t="str">
        <f t="shared" si="44"/>
        <v/>
      </c>
      <c r="BY73" s="93" t="str">
        <f t="shared" si="27"/>
        <v/>
      </c>
      <c r="BZ73" s="31" t="str">
        <f t="shared" si="45"/>
        <v/>
      </c>
      <c r="CA73" s="93" t="str">
        <f t="shared" si="28"/>
        <v/>
      </c>
      <c r="CB73" s="31" t="str">
        <f t="shared" si="46"/>
        <v/>
      </c>
      <c r="CC73" s="93" t="str">
        <f t="shared" si="29"/>
        <v/>
      </c>
      <c r="CD73" s="31" t="str">
        <f t="shared" si="47"/>
        <v/>
      </c>
      <c r="CE73" s="93">
        <f t="shared" si="30"/>
        <v>70</v>
      </c>
      <c r="CF73" s="31">
        <f t="shared" si="48"/>
        <v>1.15625</v>
      </c>
      <c r="CG73" s="93">
        <f t="shared" si="31"/>
        <v>70</v>
      </c>
      <c r="CH73" s="31">
        <f t="shared" si="49"/>
        <v>1.15625</v>
      </c>
      <c r="CI73" s="93" t="str">
        <f t="shared" si="32"/>
        <v/>
      </c>
      <c r="CJ73" s="31" t="str">
        <f t="shared" si="50"/>
        <v/>
      </c>
      <c r="CK73" s="93" t="str">
        <f t="shared" si="33"/>
        <v/>
      </c>
      <c r="CL73" s="31" t="str">
        <f t="shared" si="51"/>
        <v/>
      </c>
      <c r="CM73" s="93" t="str">
        <f t="shared" si="34"/>
        <v/>
      </c>
      <c r="CN73" s="31" t="str">
        <f t="shared" si="52"/>
        <v/>
      </c>
      <c r="CO73" s="93" t="str">
        <f t="shared" si="35"/>
        <v/>
      </c>
      <c r="CP73" s="31" t="str">
        <f t="shared" si="53"/>
        <v/>
      </c>
      <c r="CQ73" s="26"/>
      <c r="CR73" s="32"/>
      <c r="CS73" s="26"/>
      <c r="CT73" s="26"/>
      <c r="CU73" s="26"/>
      <c r="CV73" s="32"/>
      <c r="CW73" s="26"/>
      <c r="CX73" s="26"/>
      <c r="CY73" s="26"/>
      <c r="CZ73" s="26"/>
    </row>
    <row r="74" ht="15.75" customHeight="1">
      <c r="A74" s="26"/>
      <c r="B74" s="26"/>
      <c r="C74" s="26"/>
      <c r="D74" s="26" t="str">
        <f t="shared" si="83"/>
        <v>Kya Plant,Ab Fir Se Loading Plant Stoppage Se Band  Ho Gya Hai?</v>
      </c>
      <c r="E74" s="83" t="s">
        <v>157</v>
      </c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85"/>
      <c r="R74" s="26"/>
      <c r="S74" s="83" t="s">
        <v>158</v>
      </c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85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93">
        <f t="shared" si="13"/>
        <v>71</v>
      </c>
      <c r="BB74" s="31">
        <f t="shared" si="36"/>
        <v>1.159722222</v>
      </c>
      <c r="BC74" s="94">
        <f t="shared" si="14"/>
        <v>71</v>
      </c>
      <c r="BD74" s="31">
        <f t="shared" si="37"/>
        <v>1.159722222</v>
      </c>
      <c r="BE74" s="95">
        <f t="shared" si="15"/>
        <v>1.159722222</v>
      </c>
      <c r="BF74" s="93" t="str">
        <f t="shared" si="16"/>
        <v/>
      </c>
      <c r="BG74" s="31" t="str">
        <f t="shared" si="54"/>
        <v/>
      </c>
      <c r="BH74" s="95" t="str">
        <f t="shared" si="17"/>
        <v/>
      </c>
      <c r="BI74" s="93" t="str">
        <f t="shared" si="18"/>
        <v/>
      </c>
      <c r="BJ74" s="31" t="str">
        <f t="shared" si="38"/>
        <v/>
      </c>
      <c r="BK74" s="95" t="str">
        <f t="shared" si="19"/>
        <v/>
      </c>
      <c r="BL74" s="93" t="str">
        <f t="shared" si="20"/>
        <v/>
      </c>
      <c r="BM74" s="31" t="str">
        <f t="shared" si="39"/>
        <v/>
      </c>
      <c r="BN74" s="95" t="str">
        <f t="shared" si="21"/>
        <v/>
      </c>
      <c r="BO74" s="93">
        <f t="shared" si="22"/>
        <v>71</v>
      </c>
      <c r="BP74" s="31">
        <f t="shared" si="40"/>
        <v>1.159722222</v>
      </c>
      <c r="BQ74" s="93" t="str">
        <f t="shared" si="23"/>
        <v/>
      </c>
      <c r="BR74" s="31" t="str">
        <f t="shared" si="41"/>
        <v/>
      </c>
      <c r="BS74" s="93" t="str">
        <f t="shared" si="24"/>
        <v/>
      </c>
      <c r="BT74" s="31" t="str">
        <f t="shared" si="42"/>
        <v/>
      </c>
      <c r="BU74" s="93" t="str">
        <f t="shared" si="25"/>
        <v/>
      </c>
      <c r="BV74" s="31" t="str">
        <f t="shared" si="43"/>
        <v/>
      </c>
      <c r="BW74" s="93" t="str">
        <f t="shared" si="26"/>
        <v/>
      </c>
      <c r="BX74" s="31" t="str">
        <f t="shared" si="44"/>
        <v/>
      </c>
      <c r="BY74" s="93" t="str">
        <f t="shared" si="27"/>
        <v/>
      </c>
      <c r="BZ74" s="31" t="str">
        <f t="shared" si="45"/>
        <v/>
      </c>
      <c r="CA74" s="93" t="str">
        <f t="shared" si="28"/>
        <v/>
      </c>
      <c r="CB74" s="31" t="str">
        <f t="shared" si="46"/>
        <v/>
      </c>
      <c r="CC74" s="93" t="str">
        <f t="shared" si="29"/>
        <v/>
      </c>
      <c r="CD74" s="31" t="str">
        <f t="shared" si="47"/>
        <v/>
      </c>
      <c r="CE74" s="93">
        <f t="shared" si="30"/>
        <v>71</v>
      </c>
      <c r="CF74" s="31">
        <f t="shared" si="48"/>
        <v>1.159722222</v>
      </c>
      <c r="CG74" s="93">
        <f t="shared" si="31"/>
        <v>71</v>
      </c>
      <c r="CH74" s="31">
        <f t="shared" si="49"/>
        <v>1.159722222</v>
      </c>
      <c r="CI74" s="93" t="str">
        <f t="shared" si="32"/>
        <v/>
      </c>
      <c r="CJ74" s="31" t="str">
        <f t="shared" si="50"/>
        <v/>
      </c>
      <c r="CK74" s="93" t="str">
        <f t="shared" si="33"/>
        <v/>
      </c>
      <c r="CL74" s="31" t="str">
        <f t="shared" si="51"/>
        <v/>
      </c>
      <c r="CM74" s="93" t="str">
        <f t="shared" si="34"/>
        <v/>
      </c>
      <c r="CN74" s="31" t="str">
        <f t="shared" si="52"/>
        <v/>
      </c>
      <c r="CO74" s="93" t="str">
        <f t="shared" si="35"/>
        <v/>
      </c>
      <c r="CP74" s="31" t="str">
        <f t="shared" si="53"/>
        <v/>
      </c>
      <c r="CQ74" s="26"/>
      <c r="CR74" s="32"/>
      <c r="CS74" s="26"/>
      <c r="CT74" s="26"/>
      <c r="CU74" s="26"/>
      <c r="CV74" s="32"/>
      <c r="CW74" s="26"/>
      <c r="CX74" s="26"/>
      <c r="CY74" s="26"/>
      <c r="CZ74" s="26"/>
    </row>
    <row r="75" ht="15.75" customHeight="1">
      <c r="A75" s="26"/>
      <c r="B75" s="26"/>
      <c r="C75" s="26"/>
      <c r="D75" s="26" t="str">
        <f t="shared" si="83"/>
        <v>Kya TCP Bhi Band Hua Hai ?</v>
      </c>
      <c r="E75" s="172" t="s">
        <v>159</v>
      </c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75"/>
      <c r="R75" s="26"/>
      <c r="S75" s="172" t="s">
        <v>160</v>
      </c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5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93">
        <f t="shared" si="13"/>
        <v>72</v>
      </c>
      <c r="BB75" s="31">
        <f t="shared" si="36"/>
        <v>1.163194444</v>
      </c>
      <c r="BC75" s="94">
        <f t="shared" si="14"/>
        <v>72</v>
      </c>
      <c r="BD75" s="31">
        <f t="shared" si="37"/>
        <v>1.163194444</v>
      </c>
      <c r="BE75" s="95">
        <f t="shared" si="15"/>
        <v>1.163194444</v>
      </c>
      <c r="BF75" s="93" t="str">
        <f t="shared" si="16"/>
        <v/>
      </c>
      <c r="BG75" s="31" t="str">
        <f t="shared" si="54"/>
        <v/>
      </c>
      <c r="BH75" s="95" t="str">
        <f t="shared" si="17"/>
        <v/>
      </c>
      <c r="BI75" s="93" t="str">
        <f t="shared" si="18"/>
        <v/>
      </c>
      <c r="BJ75" s="31" t="str">
        <f t="shared" si="38"/>
        <v/>
      </c>
      <c r="BK75" s="95" t="str">
        <f t="shared" si="19"/>
        <v/>
      </c>
      <c r="BL75" s="93" t="str">
        <f t="shared" si="20"/>
        <v/>
      </c>
      <c r="BM75" s="31" t="str">
        <f t="shared" si="39"/>
        <v/>
      </c>
      <c r="BN75" s="95" t="str">
        <f t="shared" si="21"/>
        <v/>
      </c>
      <c r="BO75" s="93">
        <f t="shared" si="22"/>
        <v>72</v>
      </c>
      <c r="BP75" s="31">
        <f t="shared" si="40"/>
        <v>1.163194444</v>
      </c>
      <c r="BQ75" s="93" t="str">
        <f t="shared" si="23"/>
        <v/>
      </c>
      <c r="BR75" s="31" t="str">
        <f t="shared" si="41"/>
        <v/>
      </c>
      <c r="BS75" s="93" t="str">
        <f t="shared" si="24"/>
        <v/>
      </c>
      <c r="BT75" s="31" t="str">
        <f t="shared" si="42"/>
        <v/>
      </c>
      <c r="BU75" s="93" t="str">
        <f t="shared" si="25"/>
        <v/>
      </c>
      <c r="BV75" s="31" t="str">
        <f t="shared" si="43"/>
        <v/>
      </c>
      <c r="BW75" s="93" t="str">
        <f t="shared" si="26"/>
        <v/>
      </c>
      <c r="BX75" s="31" t="str">
        <f t="shared" si="44"/>
        <v/>
      </c>
      <c r="BY75" s="93" t="str">
        <f t="shared" si="27"/>
        <v/>
      </c>
      <c r="BZ75" s="31" t="str">
        <f t="shared" si="45"/>
        <v/>
      </c>
      <c r="CA75" s="93" t="str">
        <f t="shared" si="28"/>
        <v/>
      </c>
      <c r="CB75" s="31" t="str">
        <f t="shared" si="46"/>
        <v/>
      </c>
      <c r="CC75" s="93" t="str">
        <f t="shared" si="29"/>
        <v/>
      </c>
      <c r="CD75" s="31" t="str">
        <f t="shared" si="47"/>
        <v/>
      </c>
      <c r="CE75" s="93">
        <f t="shared" si="30"/>
        <v>72</v>
      </c>
      <c r="CF75" s="31">
        <f t="shared" si="48"/>
        <v>1.163194444</v>
      </c>
      <c r="CG75" s="93">
        <f t="shared" si="31"/>
        <v>72</v>
      </c>
      <c r="CH75" s="31">
        <f t="shared" si="49"/>
        <v>1.163194444</v>
      </c>
      <c r="CI75" s="93" t="str">
        <f t="shared" si="32"/>
        <v/>
      </c>
      <c r="CJ75" s="31" t="str">
        <f t="shared" si="50"/>
        <v/>
      </c>
      <c r="CK75" s="93" t="str">
        <f t="shared" si="33"/>
        <v/>
      </c>
      <c r="CL75" s="31" t="str">
        <f t="shared" si="51"/>
        <v/>
      </c>
      <c r="CM75" s="93" t="str">
        <f t="shared" si="34"/>
        <v/>
      </c>
      <c r="CN75" s="31" t="str">
        <f t="shared" si="52"/>
        <v/>
      </c>
      <c r="CO75" s="93" t="str">
        <f t="shared" si="35"/>
        <v/>
      </c>
      <c r="CP75" s="31" t="str">
        <f t="shared" si="53"/>
        <v/>
      </c>
      <c r="CQ75" s="26"/>
      <c r="CR75" s="32"/>
      <c r="CS75" s="26"/>
      <c r="CT75" s="26"/>
      <c r="CU75" s="26"/>
      <c r="CV75" s="32"/>
      <c r="CW75" s="26"/>
      <c r="CX75" s="26"/>
      <c r="CY75" s="26"/>
      <c r="CZ75" s="26"/>
    </row>
    <row r="76" ht="15.75" customHeight="1">
      <c r="A76" s="26"/>
      <c r="B76" s="26"/>
      <c r="C76" s="26"/>
      <c r="D76" s="26" t="str">
        <f t="shared" si="83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93">
        <f t="shared" si="13"/>
        <v>73</v>
      </c>
      <c r="BB76" s="31">
        <f t="shared" si="36"/>
        <v>1.166666667</v>
      </c>
      <c r="BC76" s="94">
        <f t="shared" si="14"/>
        <v>73</v>
      </c>
      <c r="BD76" s="31">
        <f t="shared" si="37"/>
        <v>1.166666667</v>
      </c>
      <c r="BE76" s="95">
        <f t="shared" si="15"/>
        <v>1.166666667</v>
      </c>
      <c r="BF76" s="93" t="str">
        <f t="shared" si="16"/>
        <v/>
      </c>
      <c r="BG76" s="31" t="str">
        <f t="shared" si="54"/>
        <v/>
      </c>
      <c r="BH76" s="95" t="str">
        <f t="shared" si="17"/>
        <v/>
      </c>
      <c r="BI76" s="93" t="str">
        <f t="shared" si="18"/>
        <v/>
      </c>
      <c r="BJ76" s="31" t="str">
        <f t="shared" si="38"/>
        <v/>
      </c>
      <c r="BK76" s="95" t="str">
        <f t="shared" si="19"/>
        <v/>
      </c>
      <c r="BL76" s="93" t="str">
        <f t="shared" si="20"/>
        <v/>
      </c>
      <c r="BM76" s="31" t="str">
        <f t="shared" si="39"/>
        <v/>
      </c>
      <c r="BN76" s="95" t="str">
        <f t="shared" si="21"/>
        <v/>
      </c>
      <c r="BO76" s="93">
        <f t="shared" si="22"/>
        <v>73</v>
      </c>
      <c r="BP76" s="31">
        <f t="shared" si="40"/>
        <v>1.166666667</v>
      </c>
      <c r="BQ76" s="93" t="str">
        <f t="shared" si="23"/>
        <v/>
      </c>
      <c r="BR76" s="31" t="str">
        <f t="shared" si="41"/>
        <v/>
      </c>
      <c r="BS76" s="93" t="str">
        <f t="shared" si="24"/>
        <v/>
      </c>
      <c r="BT76" s="31" t="str">
        <f t="shared" si="42"/>
        <v/>
      </c>
      <c r="BU76" s="93" t="str">
        <f t="shared" si="25"/>
        <v/>
      </c>
      <c r="BV76" s="31" t="str">
        <f t="shared" si="43"/>
        <v/>
      </c>
      <c r="BW76" s="93" t="str">
        <f t="shared" si="26"/>
        <v/>
      </c>
      <c r="BX76" s="31" t="str">
        <f t="shared" si="44"/>
        <v/>
      </c>
      <c r="BY76" s="93" t="str">
        <f t="shared" si="27"/>
        <v/>
      </c>
      <c r="BZ76" s="31" t="str">
        <f t="shared" si="45"/>
        <v/>
      </c>
      <c r="CA76" s="93" t="str">
        <f t="shared" si="28"/>
        <v/>
      </c>
      <c r="CB76" s="31" t="str">
        <f t="shared" si="46"/>
        <v/>
      </c>
      <c r="CC76" s="93" t="str">
        <f t="shared" si="29"/>
        <v/>
      </c>
      <c r="CD76" s="31" t="str">
        <f t="shared" si="47"/>
        <v/>
      </c>
      <c r="CE76" s="93">
        <f t="shared" si="30"/>
        <v>73</v>
      </c>
      <c r="CF76" s="31">
        <f t="shared" si="48"/>
        <v>1.166666667</v>
      </c>
      <c r="CG76" s="93">
        <f t="shared" si="31"/>
        <v>73</v>
      </c>
      <c r="CH76" s="31">
        <f t="shared" si="49"/>
        <v>1.166666667</v>
      </c>
      <c r="CI76" s="93" t="str">
        <f t="shared" si="32"/>
        <v/>
      </c>
      <c r="CJ76" s="31" t="str">
        <f t="shared" si="50"/>
        <v/>
      </c>
      <c r="CK76" s="93" t="str">
        <f t="shared" si="33"/>
        <v/>
      </c>
      <c r="CL76" s="31" t="str">
        <f t="shared" si="51"/>
        <v/>
      </c>
      <c r="CM76" s="93" t="str">
        <f t="shared" si="34"/>
        <v/>
      </c>
      <c r="CN76" s="31" t="str">
        <f t="shared" si="52"/>
        <v/>
      </c>
      <c r="CO76" s="93" t="str">
        <f t="shared" si="35"/>
        <v/>
      </c>
      <c r="CP76" s="31" t="str">
        <f t="shared" si="53"/>
        <v/>
      </c>
      <c r="CQ76" s="26"/>
      <c r="CR76" s="32"/>
      <c r="CS76" s="26"/>
      <c r="CT76" s="26"/>
      <c r="CU76" s="26"/>
      <c r="CV76" s="32"/>
      <c r="CW76" s="26"/>
      <c r="CX76" s="26"/>
      <c r="CY76" s="26"/>
      <c r="CZ76" s="26"/>
    </row>
    <row r="77" ht="15.75" customHeight="1">
      <c r="A77" s="26"/>
      <c r="B77" s="26"/>
      <c r="C77" s="26"/>
      <c r="D77" s="26" t="str">
        <f t="shared" si="83"/>
        <v/>
      </c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93">
        <f t="shared" si="13"/>
        <v>74</v>
      </c>
      <c r="BB77" s="31">
        <f t="shared" si="36"/>
        <v>1.170138889</v>
      </c>
      <c r="BC77" s="94">
        <f t="shared" si="14"/>
        <v>74</v>
      </c>
      <c r="BD77" s="31">
        <f t="shared" si="37"/>
        <v>1.170138889</v>
      </c>
      <c r="BE77" s="95">
        <f t="shared" si="15"/>
        <v>1.170138889</v>
      </c>
      <c r="BF77" s="93" t="str">
        <f t="shared" si="16"/>
        <v/>
      </c>
      <c r="BG77" s="31" t="str">
        <f t="shared" si="54"/>
        <v/>
      </c>
      <c r="BH77" s="95" t="str">
        <f t="shared" si="17"/>
        <v/>
      </c>
      <c r="BI77" s="93" t="str">
        <f t="shared" si="18"/>
        <v/>
      </c>
      <c r="BJ77" s="31" t="str">
        <f t="shared" si="38"/>
        <v/>
      </c>
      <c r="BK77" s="95" t="str">
        <f t="shared" si="19"/>
        <v/>
      </c>
      <c r="BL77" s="93" t="str">
        <f t="shared" si="20"/>
        <v/>
      </c>
      <c r="BM77" s="31" t="str">
        <f t="shared" si="39"/>
        <v/>
      </c>
      <c r="BN77" s="95" t="str">
        <f t="shared" si="21"/>
        <v/>
      </c>
      <c r="BO77" s="93">
        <f t="shared" si="22"/>
        <v>74</v>
      </c>
      <c r="BP77" s="31">
        <f t="shared" si="40"/>
        <v>1.170138889</v>
      </c>
      <c r="BQ77" s="93" t="str">
        <f t="shared" si="23"/>
        <v/>
      </c>
      <c r="BR77" s="31" t="str">
        <f t="shared" si="41"/>
        <v/>
      </c>
      <c r="BS77" s="93" t="str">
        <f t="shared" si="24"/>
        <v/>
      </c>
      <c r="BT77" s="31" t="str">
        <f t="shared" si="42"/>
        <v/>
      </c>
      <c r="BU77" s="93" t="str">
        <f t="shared" si="25"/>
        <v/>
      </c>
      <c r="BV77" s="31" t="str">
        <f t="shared" si="43"/>
        <v/>
      </c>
      <c r="BW77" s="93" t="str">
        <f t="shared" si="26"/>
        <v/>
      </c>
      <c r="BX77" s="31" t="str">
        <f t="shared" si="44"/>
        <v/>
      </c>
      <c r="BY77" s="93" t="str">
        <f t="shared" si="27"/>
        <v/>
      </c>
      <c r="BZ77" s="31" t="str">
        <f t="shared" si="45"/>
        <v/>
      </c>
      <c r="CA77" s="93" t="str">
        <f t="shared" si="28"/>
        <v/>
      </c>
      <c r="CB77" s="31" t="str">
        <f t="shared" si="46"/>
        <v/>
      </c>
      <c r="CC77" s="93" t="str">
        <f t="shared" si="29"/>
        <v/>
      </c>
      <c r="CD77" s="31" t="str">
        <f t="shared" si="47"/>
        <v/>
      </c>
      <c r="CE77" s="93">
        <f t="shared" si="30"/>
        <v>74</v>
      </c>
      <c r="CF77" s="31">
        <f t="shared" si="48"/>
        <v>1.170138889</v>
      </c>
      <c r="CG77" s="93">
        <f t="shared" si="31"/>
        <v>74</v>
      </c>
      <c r="CH77" s="31">
        <f t="shared" si="49"/>
        <v>1.170138889</v>
      </c>
      <c r="CI77" s="93" t="str">
        <f t="shared" si="32"/>
        <v/>
      </c>
      <c r="CJ77" s="31" t="str">
        <f t="shared" si="50"/>
        <v/>
      </c>
      <c r="CK77" s="93" t="str">
        <f t="shared" si="33"/>
        <v/>
      </c>
      <c r="CL77" s="31" t="str">
        <f t="shared" si="51"/>
        <v/>
      </c>
      <c r="CM77" s="93" t="str">
        <f t="shared" si="34"/>
        <v/>
      </c>
      <c r="CN77" s="31" t="str">
        <f t="shared" si="52"/>
        <v/>
      </c>
      <c r="CO77" s="93" t="str">
        <f t="shared" si="35"/>
        <v/>
      </c>
      <c r="CP77" s="31" t="str">
        <f t="shared" si="53"/>
        <v/>
      </c>
      <c r="CQ77" s="26"/>
      <c r="CR77" s="32"/>
      <c r="CS77" s="26"/>
      <c r="CT77" s="26"/>
      <c r="CU77" s="26"/>
      <c r="CV77" s="32"/>
      <c r="CW77" s="26"/>
      <c r="CX77" s="26"/>
      <c r="CY77" s="26"/>
      <c r="CZ77" s="26"/>
    </row>
    <row r="78" ht="15.75" customHeight="1">
      <c r="A78" s="26"/>
      <c r="B78" s="26"/>
      <c r="C78" s="26"/>
      <c r="D78" s="26" t="str">
        <f t="shared" si="83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93">
        <f t="shared" si="13"/>
        <v>75</v>
      </c>
      <c r="BB78" s="31">
        <f t="shared" si="36"/>
        <v>1.173611111</v>
      </c>
      <c r="BC78" s="94">
        <f t="shared" si="14"/>
        <v>75</v>
      </c>
      <c r="BD78" s="31">
        <f t="shared" si="37"/>
        <v>1.173611111</v>
      </c>
      <c r="BE78" s="95">
        <f t="shared" si="15"/>
        <v>1.173611111</v>
      </c>
      <c r="BF78" s="93" t="str">
        <f t="shared" si="16"/>
        <v/>
      </c>
      <c r="BG78" s="31" t="str">
        <f t="shared" si="54"/>
        <v/>
      </c>
      <c r="BH78" s="95" t="str">
        <f t="shared" si="17"/>
        <v/>
      </c>
      <c r="BI78" s="93" t="str">
        <f t="shared" si="18"/>
        <v/>
      </c>
      <c r="BJ78" s="31" t="str">
        <f t="shared" si="38"/>
        <v/>
      </c>
      <c r="BK78" s="95" t="str">
        <f t="shared" si="19"/>
        <v/>
      </c>
      <c r="BL78" s="93" t="str">
        <f t="shared" si="20"/>
        <v/>
      </c>
      <c r="BM78" s="31" t="str">
        <f t="shared" si="39"/>
        <v/>
      </c>
      <c r="BN78" s="95" t="str">
        <f t="shared" si="21"/>
        <v/>
      </c>
      <c r="BO78" s="93">
        <f t="shared" si="22"/>
        <v>75</v>
      </c>
      <c r="BP78" s="31">
        <f t="shared" si="40"/>
        <v>1.173611111</v>
      </c>
      <c r="BQ78" s="93" t="str">
        <f t="shared" si="23"/>
        <v/>
      </c>
      <c r="BR78" s="31" t="str">
        <f t="shared" si="41"/>
        <v/>
      </c>
      <c r="BS78" s="93" t="str">
        <f t="shared" si="24"/>
        <v/>
      </c>
      <c r="BT78" s="31" t="str">
        <f t="shared" si="42"/>
        <v/>
      </c>
      <c r="BU78" s="93" t="str">
        <f t="shared" si="25"/>
        <v/>
      </c>
      <c r="BV78" s="31" t="str">
        <f t="shared" si="43"/>
        <v/>
      </c>
      <c r="BW78" s="93" t="str">
        <f t="shared" si="26"/>
        <v/>
      </c>
      <c r="BX78" s="31" t="str">
        <f t="shared" si="44"/>
        <v/>
      </c>
      <c r="BY78" s="93" t="str">
        <f t="shared" si="27"/>
        <v/>
      </c>
      <c r="BZ78" s="31" t="str">
        <f t="shared" si="45"/>
        <v/>
      </c>
      <c r="CA78" s="93" t="str">
        <f t="shared" si="28"/>
        <v/>
      </c>
      <c r="CB78" s="31" t="str">
        <f t="shared" si="46"/>
        <v/>
      </c>
      <c r="CC78" s="93" t="str">
        <f t="shared" si="29"/>
        <v/>
      </c>
      <c r="CD78" s="31" t="str">
        <f t="shared" si="47"/>
        <v/>
      </c>
      <c r="CE78" s="93">
        <f t="shared" si="30"/>
        <v>75</v>
      </c>
      <c r="CF78" s="31">
        <f t="shared" si="48"/>
        <v>1.173611111</v>
      </c>
      <c r="CG78" s="93">
        <f t="shared" si="31"/>
        <v>75</v>
      </c>
      <c r="CH78" s="31">
        <f t="shared" si="49"/>
        <v>1.173611111</v>
      </c>
      <c r="CI78" s="93" t="str">
        <f t="shared" si="32"/>
        <v/>
      </c>
      <c r="CJ78" s="31" t="str">
        <f t="shared" si="50"/>
        <v/>
      </c>
      <c r="CK78" s="93" t="str">
        <f t="shared" si="33"/>
        <v/>
      </c>
      <c r="CL78" s="31" t="str">
        <f t="shared" si="51"/>
        <v/>
      </c>
      <c r="CM78" s="93" t="str">
        <f t="shared" si="34"/>
        <v/>
      </c>
      <c r="CN78" s="31" t="str">
        <f t="shared" si="52"/>
        <v/>
      </c>
      <c r="CO78" s="93" t="str">
        <f t="shared" si="35"/>
        <v/>
      </c>
      <c r="CP78" s="31" t="str">
        <f t="shared" si="53"/>
        <v/>
      </c>
      <c r="CQ78" s="26"/>
      <c r="CR78" s="32"/>
      <c r="CS78" s="26"/>
      <c r="CT78" s="26"/>
      <c r="CU78" s="26"/>
      <c r="CV78" s="32"/>
      <c r="CW78" s="26"/>
      <c r="CX78" s="26"/>
      <c r="CY78" s="26"/>
      <c r="CZ78" s="26"/>
    </row>
    <row r="79" ht="15.75" customHeight="1">
      <c r="A79" s="26"/>
      <c r="B79" s="26"/>
      <c r="C79" s="26"/>
      <c r="D79" s="26" t="str">
        <f t="shared" si="83"/>
        <v/>
      </c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93">
        <f t="shared" si="13"/>
        <v>76</v>
      </c>
      <c r="BB79" s="31">
        <f t="shared" si="36"/>
        <v>1.177083333</v>
      </c>
      <c r="BC79" s="94">
        <f t="shared" si="14"/>
        <v>76</v>
      </c>
      <c r="BD79" s="31">
        <f t="shared" si="37"/>
        <v>1.177083333</v>
      </c>
      <c r="BE79" s="95">
        <f t="shared" si="15"/>
        <v>1.177083333</v>
      </c>
      <c r="BF79" s="93" t="str">
        <f t="shared" si="16"/>
        <v/>
      </c>
      <c r="BG79" s="31" t="str">
        <f t="shared" si="54"/>
        <v/>
      </c>
      <c r="BH79" s="95" t="str">
        <f t="shared" si="17"/>
        <v/>
      </c>
      <c r="BI79" s="93" t="str">
        <f t="shared" si="18"/>
        <v/>
      </c>
      <c r="BJ79" s="31" t="str">
        <f t="shared" si="38"/>
        <v/>
      </c>
      <c r="BK79" s="95" t="str">
        <f t="shared" si="19"/>
        <v/>
      </c>
      <c r="BL79" s="93" t="str">
        <f t="shared" si="20"/>
        <v/>
      </c>
      <c r="BM79" s="31" t="str">
        <f t="shared" si="39"/>
        <v/>
      </c>
      <c r="BN79" s="95" t="str">
        <f t="shared" si="21"/>
        <v/>
      </c>
      <c r="BO79" s="93">
        <f t="shared" si="22"/>
        <v>76</v>
      </c>
      <c r="BP79" s="31">
        <f t="shared" si="40"/>
        <v>1.177083333</v>
      </c>
      <c r="BQ79" s="93" t="str">
        <f t="shared" si="23"/>
        <v/>
      </c>
      <c r="BR79" s="31" t="str">
        <f t="shared" si="41"/>
        <v/>
      </c>
      <c r="BS79" s="93" t="str">
        <f t="shared" si="24"/>
        <v/>
      </c>
      <c r="BT79" s="31" t="str">
        <f t="shared" si="42"/>
        <v/>
      </c>
      <c r="BU79" s="93" t="str">
        <f t="shared" si="25"/>
        <v/>
      </c>
      <c r="BV79" s="31" t="str">
        <f t="shared" si="43"/>
        <v/>
      </c>
      <c r="BW79" s="93" t="str">
        <f t="shared" si="26"/>
        <v/>
      </c>
      <c r="BX79" s="31" t="str">
        <f t="shared" si="44"/>
        <v/>
      </c>
      <c r="BY79" s="93" t="str">
        <f t="shared" si="27"/>
        <v/>
      </c>
      <c r="BZ79" s="31" t="str">
        <f t="shared" si="45"/>
        <v/>
      </c>
      <c r="CA79" s="93" t="str">
        <f t="shared" si="28"/>
        <v/>
      </c>
      <c r="CB79" s="31" t="str">
        <f t="shared" si="46"/>
        <v/>
      </c>
      <c r="CC79" s="93" t="str">
        <f t="shared" si="29"/>
        <v/>
      </c>
      <c r="CD79" s="31" t="str">
        <f t="shared" si="47"/>
        <v/>
      </c>
      <c r="CE79" s="93">
        <f t="shared" si="30"/>
        <v>76</v>
      </c>
      <c r="CF79" s="31">
        <f t="shared" si="48"/>
        <v>1.177083333</v>
      </c>
      <c r="CG79" s="93">
        <f t="shared" si="31"/>
        <v>76</v>
      </c>
      <c r="CH79" s="31">
        <f t="shared" si="49"/>
        <v>1.177083333</v>
      </c>
      <c r="CI79" s="93" t="str">
        <f t="shared" si="32"/>
        <v/>
      </c>
      <c r="CJ79" s="31" t="str">
        <f t="shared" si="50"/>
        <v/>
      </c>
      <c r="CK79" s="93" t="str">
        <f t="shared" si="33"/>
        <v/>
      </c>
      <c r="CL79" s="31" t="str">
        <f t="shared" si="51"/>
        <v/>
      </c>
      <c r="CM79" s="93" t="str">
        <f t="shared" si="34"/>
        <v/>
      </c>
      <c r="CN79" s="31" t="str">
        <f t="shared" si="52"/>
        <v/>
      </c>
      <c r="CO79" s="93" t="str">
        <f t="shared" si="35"/>
        <v/>
      </c>
      <c r="CP79" s="31" t="str">
        <f t="shared" si="53"/>
        <v/>
      </c>
      <c r="CQ79" s="26"/>
      <c r="CR79" s="32"/>
      <c r="CS79" s="26"/>
      <c r="CT79" s="26"/>
      <c r="CU79" s="26"/>
      <c r="CV79" s="32"/>
      <c r="CW79" s="26"/>
      <c r="CX79" s="26"/>
      <c r="CY79" s="26"/>
      <c r="CZ79" s="26"/>
    </row>
    <row r="80" ht="15.75" customHeight="1">
      <c r="A80" s="26"/>
      <c r="B80" s="26"/>
      <c r="C80" s="26"/>
      <c r="D80" s="26" t="str">
        <f t="shared" si="83"/>
        <v>Please Shift Enter Karen</v>
      </c>
      <c r="E80" s="26" t="s">
        <v>161</v>
      </c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 t="s">
        <v>162</v>
      </c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93">
        <f t="shared" si="13"/>
        <v>77</v>
      </c>
      <c r="BB80" s="31">
        <f t="shared" si="36"/>
        <v>1.180555556</v>
      </c>
      <c r="BC80" s="94">
        <f t="shared" si="14"/>
        <v>77</v>
      </c>
      <c r="BD80" s="31">
        <f t="shared" si="37"/>
        <v>1.180555556</v>
      </c>
      <c r="BE80" s="95">
        <f t="shared" si="15"/>
        <v>1.180555556</v>
      </c>
      <c r="BF80" s="93" t="str">
        <f t="shared" si="16"/>
        <v/>
      </c>
      <c r="BG80" s="31" t="str">
        <f t="shared" si="54"/>
        <v/>
      </c>
      <c r="BH80" s="95" t="str">
        <f t="shared" si="17"/>
        <v/>
      </c>
      <c r="BI80" s="93" t="str">
        <f t="shared" si="18"/>
        <v/>
      </c>
      <c r="BJ80" s="31" t="str">
        <f t="shared" si="38"/>
        <v/>
      </c>
      <c r="BK80" s="95" t="str">
        <f t="shared" si="19"/>
        <v/>
      </c>
      <c r="BL80" s="93" t="str">
        <f t="shared" si="20"/>
        <v/>
      </c>
      <c r="BM80" s="31" t="str">
        <f t="shared" si="39"/>
        <v/>
      </c>
      <c r="BN80" s="95" t="str">
        <f t="shared" si="21"/>
        <v/>
      </c>
      <c r="BO80" s="93">
        <f t="shared" si="22"/>
        <v>77</v>
      </c>
      <c r="BP80" s="31">
        <f t="shared" si="40"/>
        <v>1.180555556</v>
      </c>
      <c r="BQ80" s="93" t="str">
        <f t="shared" si="23"/>
        <v/>
      </c>
      <c r="BR80" s="31" t="str">
        <f t="shared" si="41"/>
        <v/>
      </c>
      <c r="BS80" s="93" t="str">
        <f t="shared" si="24"/>
        <v/>
      </c>
      <c r="BT80" s="31" t="str">
        <f t="shared" si="42"/>
        <v/>
      </c>
      <c r="BU80" s="93" t="str">
        <f t="shared" si="25"/>
        <v/>
      </c>
      <c r="BV80" s="31" t="str">
        <f t="shared" si="43"/>
        <v/>
      </c>
      <c r="BW80" s="93" t="str">
        <f t="shared" si="26"/>
        <v/>
      </c>
      <c r="BX80" s="31" t="str">
        <f t="shared" si="44"/>
        <v/>
      </c>
      <c r="BY80" s="93" t="str">
        <f t="shared" si="27"/>
        <v/>
      </c>
      <c r="BZ80" s="31" t="str">
        <f t="shared" si="45"/>
        <v/>
      </c>
      <c r="CA80" s="93" t="str">
        <f t="shared" si="28"/>
        <v/>
      </c>
      <c r="CB80" s="31" t="str">
        <f t="shared" si="46"/>
        <v/>
      </c>
      <c r="CC80" s="93" t="str">
        <f t="shared" si="29"/>
        <v/>
      </c>
      <c r="CD80" s="31" t="str">
        <f t="shared" si="47"/>
        <v/>
      </c>
      <c r="CE80" s="93">
        <f t="shared" si="30"/>
        <v>77</v>
      </c>
      <c r="CF80" s="31">
        <f t="shared" si="48"/>
        <v>1.180555556</v>
      </c>
      <c r="CG80" s="93">
        <f t="shared" si="31"/>
        <v>77</v>
      </c>
      <c r="CH80" s="31">
        <f t="shared" si="49"/>
        <v>1.180555556</v>
      </c>
      <c r="CI80" s="93" t="str">
        <f t="shared" si="32"/>
        <v/>
      </c>
      <c r="CJ80" s="31" t="str">
        <f t="shared" si="50"/>
        <v/>
      </c>
      <c r="CK80" s="93" t="str">
        <f t="shared" si="33"/>
        <v/>
      </c>
      <c r="CL80" s="31" t="str">
        <f t="shared" si="51"/>
        <v/>
      </c>
      <c r="CM80" s="93" t="str">
        <f t="shared" si="34"/>
        <v/>
      </c>
      <c r="CN80" s="31" t="str">
        <f t="shared" si="52"/>
        <v/>
      </c>
      <c r="CO80" s="93" t="str">
        <f t="shared" si="35"/>
        <v/>
      </c>
      <c r="CP80" s="31" t="str">
        <f t="shared" si="53"/>
        <v/>
      </c>
      <c r="CQ80" s="26"/>
      <c r="CR80" s="32"/>
      <c r="CS80" s="26"/>
      <c r="CT80" s="26"/>
      <c r="CU80" s="26"/>
      <c r="CV80" s="32"/>
      <c r="CW80" s="26"/>
      <c r="CX80" s="26"/>
      <c r="CY80" s="26"/>
      <c r="CZ80" s="26"/>
    </row>
    <row r="81" ht="15.75" customHeight="1">
      <c r="A81" s="26"/>
      <c r="B81" s="26"/>
      <c r="C81" s="26"/>
      <c r="D81" s="26" t="str">
        <f t="shared" si="83"/>
        <v>Please Date Enter Karen</v>
      </c>
      <c r="E81" s="26" t="s">
        <v>163</v>
      </c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164</v>
      </c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93">
        <f t="shared" si="13"/>
        <v>78</v>
      </c>
      <c r="BB81" s="31">
        <f t="shared" si="36"/>
        <v>1.184027778</v>
      </c>
      <c r="BC81" s="94">
        <f t="shared" si="14"/>
        <v>78</v>
      </c>
      <c r="BD81" s="31">
        <f t="shared" si="37"/>
        <v>1.184027778</v>
      </c>
      <c r="BE81" s="95">
        <f t="shared" si="15"/>
        <v>1.184027778</v>
      </c>
      <c r="BF81" s="93" t="str">
        <f t="shared" si="16"/>
        <v/>
      </c>
      <c r="BG81" s="31" t="str">
        <f t="shared" si="54"/>
        <v/>
      </c>
      <c r="BH81" s="95" t="str">
        <f t="shared" si="17"/>
        <v/>
      </c>
      <c r="BI81" s="93" t="str">
        <f t="shared" si="18"/>
        <v/>
      </c>
      <c r="BJ81" s="31" t="str">
        <f t="shared" si="38"/>
        <v/>
      </c>
      <c r="BK81" s="95" t="str">
        <f t="shared" si="19"/>
        <v/>
      </c>
      <c r="BL81" s="93" t="str">
        <f t="shared" si="20"/>
        <v/>
      </c>
      <c r="BM81" s="31" t="str">
        <f t="shared" si="39"/>
        <v/>
      </c>
      <c r="BN81" s="95" t="str">
        <f t="shared" si="21"/>
        <v/>
      </c>
      <c r="BO81" s="93">
        <f t="shared" si="22"/>
        <v>78</v>
      </c>
      <c r="BP81" s="31">
        <f t="shared" si="40"/>
        <v>1.184027778</v>
      </c>
      <c r="BQ81" s="93" t="str">
        <f t="shared" si="23"/>
        <v/>
      </c>
      <c r="BR81" s="31" t="str">
        <f t="shared" si="41"/>
        <v/>
      </c>
      <c r="BS81" s="93" t="str">
        <f t="shared" si="24"/>
        <v/>
      </c>
      <c r="BT81" s="31" t="str">
        <f t="shared" si="42"/>
        <v/>
      </c>
      <c r="BU81" s="93" t="str">
        <f t="shared" si="25"/>
        <v/>
      </c>
      <c r="BV81" s="31" t="str">
        <f t="shared" si="43"/>
        <v/>
      </c>
      <c r="BW81" s="93" t="str">
        <f t="shared" si="26"/>
        <v/>
      </c>
      <c r="BX81" s="31" t="str">
        <f t="shared" si="44"/>
        <v/>
      </c>
      <c r="BY81" s="93" t="str">
        <f t="shared" si="27"/>
        <v/>
      </c>
      <c r="BZ81" s="31" t="str">
        <f t="shared" si="45"/>
        <v/>
      </c>
      <c r="CA81" s="93" t="str">
        <f t="shared" si="28"/>
        <v/>
      </c>
      <c r="CB81" s="31" t="str">
        <f t="shared" si="46"/>
        <v/>
      </c>
      <c r="CC81" s="93" t="str">
        <f t="shared" si="29"/>
        <v/>
      </c>
      <c r="CD81" s="31" t="str">
        <f t="shared" si="47"/>
        <v/>
      </c>
      <c r="CE81" s="93">
        <f t="shared" si="30"/>
        <v>78</v>
      </c>
      <c r="CF81" s="31">
        <f t="shared" si="48"/>
        <v>1.184027778</v>
      </c>
      <c r="CG81" s="93">
        <f t="shared" si="31"/>
        <v>78</v>
      </c>
      <c r="CH81" s="31">
        <f t="shared" si="49"/>
        <v>1.184027778</v>
      </c>
      <c r="CI81" s="93" t="str">
        <f t="shared" si="32"/>
        <v/>
      </c>
      <c r="CJ81" s="31" t="str">
        <f t="shared" si="50"/>
        <v/>
      </c>
      <c r="CK81" s="93" t="str">
        <f t="shared" si="33"/>
        <v/>
      </c>
      <c r="CL81" s="31" t="str">
        <f t="shared" si="51"/>
        <v/>
      </c>
      <c r="CM81" s="93" t="str">
        <f t="shared" si="34"/>
        <v/>
      </c>
      <c r="CN81" s="31" t="str">
        <f t="shared" si="52"/>
        <v/>
      </c>
      <c r="CO81" s="93" t="str">
        <f t="shared" si="35"/>
        <v/>
      </c>
      <c r="CP81" s="31" t="str">
        <f t="shared" si="53"/>
        <v/>
      </c>
      <c r="CQ81" s="26"/>
      <c r="CR81" s="32"/>
      <c r="CS81" s="26"/>
      <c r="CT81" s="26"/>
      <c r="CU81" s="26"/>
      <c r="CV81" s="32"/>
      <c r="CW81" s="26"/>
      <c r="CX81" s="26"/>
      <c r="CY81" s="26"/>
      <c r="CZ81" s="26"/>
    </row>
    <row r="82" ht="30.75" customHeight="1">
      <c r="A82" s="26"/>
      <c r="B82" s="26"/>
      <c r="C82" s="26"/>
      <c r="D82" s="26" t="str">
        <f t="shared" si="83"/>
        <v>Aapka START Time Entry Khali Hai Kya Aap  START Time Dalana Chahenge?</v>
      </c>
      <c r="E82" s="222" t="s">
        <v>165</v>
      </c>
      <c r="J82" s="26"/>
      <c r="K82" s="26"/>
      <c r="L82" s="26"/>
      <c r="M82" s="26"/>
      <c r="N82" s="26"/>
      <c r="O82" s="26"/>
      <c r="P82" s="26"/>
      <c r="Q82" s="26"/>
      <c r="R82" s="26"/>
      <c r="S82" s="222" t="s">
        <v>166</v>
      </c>
      <c r="X82" s="223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93">
        <f t="shared" si="13"/>
        <v>79</v>
      </c>
      <c r="BB82" s="31">
        <f t="shared" si="36"/>
        <v>1.1875</v>
      </c>
      <c r="BC82" s="94">
        <f t="shared" si="14"/>
        <v>79</v>
      </c>
      <c r="BD82" s="31">
        <f t="shared" si="37"/>
        <v>1.1875</v>
      </c>
      <c r="BE82" s="95">
        <f t="shared" si="15"/>
        <v>1.1875</v>
      </c>
      <c r="BF82" s="93" t="str">
        <f t="shared" si="16"/>
        <v/>
      </c>
      <c r="BG82" s="31" t="str">
        <f t="shared" si="54"/>
        <v/>
      </c>
      <c r="BH82" s="95" t="str">
        <f t="shared" si="17"/>
        <v/>
      </c>
      <c r="BI82" s="93" t="str">
        <f t="shared" si="18"/>
        <v/>
      </c>
      <c r="BJ82" s="31" t="str">
        <f t="shared" si="38"/>
        <v/>
      </c>
      <c r="BK82" s="95" t="str">
        <f t="shared" si="19"/>
        <v/>
      </c>
      <c r="BL82" s="93" t="str">
        <f t="shared" si="20"/>
        <v/>
      </c>
      <c r="BM82" s="31" t="str">
        <f t="shared" si="39"/>
        <v/>
      </c>
      <c r="BN82" s="95" t="str">
        <f t="shared" si="21"/>
        <v/>
      </c>
      <c r="BO82" s="93">
        <f t="shared" si="22"/>
        <v>79</v>
      </c>
      <c r="BP82" s="31">
        <f t="shared" si="40"/>
        <v>1.1875</v>
      </c>
      <c r="BQ82" s="93" t="str">
        <f t="shared" si="23"/>
        <v/>
      </c>
      <c r="BR82" s="31" t="str">
        <f t="shared" si="41"/>
        <v/>
      </c>
      <c r="BS82" s="93" t="str">
        <f t="shared" si="24"/>
        <v/>
      </c>
      <c r="BT82" s="31" t="str">
        <f t="shared" si="42"/>
        <v/>
      </c>
      <c r="BU82" s="93" t="str">
        <f t="shared" si="25"/>
        <v/>
      </c>
      <c r="BV82" s="31" t="str">
        <f t="shared" si="43"/>
        <v/>
      </c>
      <c r="BW82" s="93" t="str">
        <f t="shared" si="26"/>
        <v/>
      </c>
      <c r="BX82" s="31" t="str">
        <f t="shared" si="44"/>
        <v/>
      </c>
      <c r="BY82" s="93" t="str">
        <f t="shared" si="27"/>
        <v/>
      </c>
      <c r="BZ82" s="31" t="str">
        <f t="shared" si="45"/>
        <v/>
      </c>
      <c r="CA82" s="93" t="str">
        <f t="shared" si="28"/>
        <v/>
      </c>
      <c r="CB82" s="31" t="str">
        <f t="shared" si="46"/>
        <v/>
      </c>
      <c r="CC82" s="93" t="str">
        <f t="shared" si="29"/>
        <v/>
      </c>
      <c r="CD82" s="31" t="str">
        <f t="shared" si="47"/>
        <v/>
      </c>
      <c r="CE82" s="93">
        <f t="shared" si="30"/>
        <v>79</v>
      </c>
      <c r="CF82" s="31">
        <f t="shared" si="48"/>
        <v>1.1875</v>
      </c>
      <c r="CG82" s="93">
        <f t="shared" si="31"/>
        <v>79</v>
      </c>
      <c r="CH82" s="31">
        <f t="shared" si="49"/>
        <v>1.1875</v>
      </c>
      <c r="CI82" s="93" t="str">
        <f t="shared" si="32"/>
        <v/>
      </c>
      <c r="CJ82" s="31" t="str">
        <f t="shared" si="50"/>
        <v/>
      </c>
      <c r="CK82" s="93" t="str">
        <f t="shared" si="33"/>
        <v/>
      </c>
      <c r="CL82" s="31" t="str">
        <f t="shared" si="51"/>
        <v/>
      </c>
      <c r="CM82" s="93" t="str">
        <f t="shared" si="34"/>
        <v/>
      </c>
      <c r="CN82" s="31" t="str">
        <f t="shared" si="52"/>
        <v/>
      </c>
      <c r="CO82" s="93" t="str">
        <f t="shared" si="35"/>
        <v/>
      </c>
      <c r="CP82" s="31" t="str">
        <f t="shared" si="53"/>
        <v/>
      </c>
      <c r="CQ82" s="26"/>
      <c r="CR82" s="32"/>
      <c r="CS82" s="26"/>
      <c r="CT82" s="26"/>
      <c r="CU82" s="26"/>
      <c r="CV82" s="32"/>
      <c r="CW82" s="26"/>
      <c r="CX82" s="26"/>
      <c r="CY82" s="26"/>
      <c r="CZ82" s="26"/>
    </row>
    <row r="83" ht="26.25" customHeight="1">
      <c r="A83" s="26"/>
      <c r="B83" s="26"/>
      <c r="C83" s="26"/>
      <c r="D83" s="26" t="str">
        <f t="shared" si="83"/>
        <v>Aapka STOP Time Entry Khali Hai Kya Aap  STOP Time Dalana Chahenge?</v>
      </c>
      <c r="E83" s="222" t="s">
        <v>167</v>
      </c>
      <c r="J83" s="26"/>
      <c r="K83" s="26"/>
      <c r="L83" s="26"/>
      <c r="M83" s="26"/>
      <c r="N83" s="26"/>
      <c r="O83" s="26"/>
      <c r="P83" s="26"/>
      <c r="Q83" s="26"/>
      <c r="R83" s="26"/>
      <c r="S83" s="222" t="s">
        <v>168</v>
      </c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93">
        <f t="shared" si="13"/>
        <v>80</v>
      </c>
      <c r="BB83" s="31">
        <f t="shared" si="36"/>
        <v>1.190972222</v>
      </c>
      <c r="BC83" s="94">
        <f t="shared" si="14"/>
        <v>80</v>
      </c>
      <c r="BD83" s="31">
        <f t="shared" si="37"/>
        <v>1.190972222</v>
      </c>
      <c r="BE83" s="95">
        <f t="shared" si="15"/>
        <v>1.190972222</v>
      </c>
      <c r="BF83" s="93" t="str">
        <f t="shared" si="16"/>
        <v/>
      </c>
      <c r="BG83" s="31" t="str">
        <f t="shared" si="54"/>
        <v/>
      </c>
      <c r="BH83" s="95" t="str">
        <f t="shared" si="17"/>
        <v/>
      </c>
      <c r="BI83" s="93" t="str">
        <f t="shared" si="18"/>
        <v/>
      </c>
      <c r="BJ83" s="31" t="str">
        <f t="shared" si="38"/>
        <v/>
      </c>
      <c r="BK83" s="95" t="str">
        <f t="shared" si="19"/>
        <v/>
      </c>
      <c r="BL83" s="93" t="str">
        <f t="shared" si="20"/>
        <v/>
      </c>
      <c r="BM83" s="31" t="str">
        <f t="shared" si="39"/>
        <v/>
      </c>
      <c r="BN83" s="95" t="str">
        <f t="shared" si="21"/>
        <v/>
      </c>
      <c r="BO83" s="93">
        <f t="shared" si="22"/>
        <v>80</v>
      </c>
      <c r="BP83" s="31">
        <f t="shared" si="40"/>
        <v>1.190972222</v>
      </c>
      <c r="BQ83" s="93" t="str">
        <f t="shared" si="23"/>
        <v/>
      </c>
      <c r="BR83" s="31" t="str">
        <f t="shared" si="41"/>
        <v/>
      </c>
      <c r="BS83" s="93" t="str">
        <f t="shared" si="24"/>
        <v/>
      </c>
      <c r="BT83" s="31" t="str">
        <f t="shared" si="42"/>
        <v/>
      </c>
      <c r="BU83" s="93" t="str">
        <f t="shared" si="25"/>
        <v/>
      </c>
      <c r="BV83" s="31" t="str">
        <f t="shared" si="43"/>
        <v/>
      </c>
      <c r="BW83" s="93" t="str">
        <f t="shared" si="26"/>
        <v/>
      </c>
      <c r="BX83" s="31" t="str">
        <f t="shared" si="44"/>
        <v/>
      </c>
      <c r="BY83" s="93" t="str">
        <f t="shared" si="27"/>
        <v/>
      </c>
      <c r="BZ83" s="31" t="str">
        <f t="shared" si="45"/>
        <v/>
      </c>
      <c r="CA83" s="93" t="str">
        <f t="shared" si="28"/>
        <v/>
      </c>
      <c r="CB83" s="31" t="str">
        <f t="shared" si="46"/>
        <v/>
      </c>
      <c r="CC83" s="93" t="str">
        <f t="shared" si="29"/>
        <v/>
      </c>
      <c r="CD83" s="31" t="str">
        <f t="shared" si="47"/>
        <v/>
      </c>
      <c r="CE83" s="93">
        <f t="shared" si="30"/>
        <v>80</v>
      </c>
      <c r="CF83" s="31">
        <f t="shared" si="48"/>
        <v>1.190972222</v>
      </c>
      <c r="CG83" s="93">
        <f t="shared" si="31"/>
        <v>80</v>
      </c>
      <c r="CH83" s="31">
        <f t="shared" si="49"/>
        <v>1.190972222</v>
      </c>
      <c r="CI83" s="93" t="str">
        <f t="shared" si="32"/>
        <v/>
      </c>
      <c r="CJ83" s="31" t="str">
        <f t="shared" si="50"/>
        <v/>
      </c>
      <c r="CK83" s="93" t="str">
        <f t="shared" si="33"/>
        <v/>
      </c>
      <c r="CL83" s="31" t="str">
        <f t="shared" si="51"/>
        <v/>
      </c>
      <c r="CM83" s="93" t="str">
        <f t="shared" si="34"/>
        <v/>
      </c>
      <c r="CN83" s="31" t="str">
        <f t="shared" si="52"/>
        <v/>
      </c>
      <c r="CO83" s="93" t="str">
        <f t="shared" si="35"/>
        <v/>
      </c>
      <c r="CP83" s="31" t="str">
        <f t="shared" si="53"/>
        <v/>
      </c>
      <c r="CQ83" s="26"/>
      <c r="CR83" s="32"/>
      <c r="CS83" s="26"/>
      <c r="CT83" s="26"/>
      <c r="CU83" s="26"/>
      <c r="CV83" s="32"/>
      <c r="CW83" s="26"/>
      <c r="CX83" s="26"/>
      <c r="CY83" s="26"/>
      <c r="CZ83" s="26"/>
    </row>
    <row r="84" ht="15.75" customHeight="1">
      <c r="A84" s="26"/>
      <c r="B84" s="26"/>
      <c r="C84" s="26"/>
      <c r="D84" s="26" t="str">
        <f t="shared" si="83"/>
        <v>Kya App Sure Hain? App Is Shift Ki Data Entry  Delete Karane Ja Rhae Hain</v>
      </c>
      <c r="E84" s="26" t="s">
        <v>169</v>
      </c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170</v>
      </c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93">
        <f t="shared" si="13"/>
        <v>81</v>
      </c>
      <c r="BB84" s="31">
        <f t="shared" si="36"/>
        <v>1.194444444</v>
      </c>
      <c r="BC84" s="94">
        <f t="shared" si="14"/>
        <v>81</v>
      </c>
      <c r="BD84" s="31">
        <f t="shared" si="37"/>
        <v>1.194444444</v>
      </c>
      <c r="BE84" s="95">
        <f t="shared" si="15"/>
        <v>1.194444444</v>
      </c>
      <c r="BF84" s="93" t="str">
        <f t="shared" si="16"/>
        <v/>
      </c>
      <c r="BG84" s="31" t="str">
        <f t="shared" si="54"/>
        <v/>
      </c>
      <c r="BH84" s="95" t="str">
        <f t="shared" si="17"/>
        <v/>
      </c>
      <c r="BI84" s="93" t="str">
        <f t="shared" si="18"/>
        <v/>
      </c>
      <c r="BJ84" s="31" t="str">
        <f t="shared" si="38"/>
        <v/>
      </c>
      <c r="BK84" s="95" t="str">
        <f t="shared" si="19"/>
        <v/>
      </c>
      <c r="BL84" s="93" t="str">
        <f t="shared" si="20"/>
        <v/>
      </c>
      <c r="BM84" s="31" t="str">
        <f t="shared" si="39"/>
        <v/>
      </c>
      <c r="BN84" s="95" t="str">
        <f t="shared" si="21"/>
        <v/>
      </c>
      <c r="BO84" s="93">
        <f t="shared" si="22"/>
        <v>81</v>
      </c>
      <c r="BP84" s="31">
        <f t="shared" si="40"/>
        <v>1.194444444</v>
      </c>
      <c r="BQ84" s="93" t="str">
        <f t="shared" si="23"/>
        <v/>
      </c>
      <c r="BR84" s="31" t="str">
        <f t="shared" si="41"/>
        <v/>
      </c>
      <c r="BS84" s="93" t="str">
        <f t="shared" si="24"/>
        <v/>
      </c>
      <c r="BT84" s="31" t="str">
        <f t="shared" si="42"/>
        <v/>
      </c>
      <c r="BU84" s="93" t="str">
        <f t="shared" si="25"/>
        <v/>
      </c>
      <c r="BV84" s="31" t="str">
        <f t="shared" si="43"/>
        <v/>
      </c>
      <c r="BW84" s="93" t="str">
        <f t="shared" si="26"/>
        <v/>
      </c>
      <c r="BX84" s="31" t="str">
        <f t="shared" si="44"/>
        <v/>
      </c>
      <c r="BY84" s="93" t="str">
        <f t="shared" si="27"/>
        <v/>
      </c>
      <c r="BZ84" s="31" t="str">
        <f t="shared" si="45"/>
        <v/>
      </c>
      <c r="CA84" s="93" t="str">
        <f t="shared" si="28"/>
        <v/>
      </c>
      <c r="CB84" s="31" t="str">
        <f t="shared" si="46"/>
        <v/>
      </c>
      <c r="CC84" s="93" t="str">
        <f t="shared" si="29"/>
        <v/>
      </c>
      <c r="CD84" s="31" t="str">
        <f t="shared" si="47"/>
        <v/>
      </c>
      <c r="CE84" s="93">
        <f t="shared" si="30"/>
        <v>81</v>
      </c>
      <c r="CF84" s="31">
        <f t="shared" si="48"/>
        <v>1.194444444</v>
      </c>
      <c r="CG84" s="93">
        <f t="shared" si="31"/>
        <v>81</v>
      </c>
      <c r="CH84" s="31">
        <f t="shared" si="49"/>
        <v>1.194444444</v>
      </c>
      <c r="CI84" s="93" t="str">
        <f t="shared" si="32"/>
        <v/>
      </c>
      <c r="CJ84" s="31" t="str">
        <f t="shared" si="50"/>
        <v/>
      </c>
      <c r="CK84" s="93" t="str">
        <f t="shared" si="33"/>
        <v/>
      </c>
      <c r="CL84" s="31" t="str">
        <f t="shared" si="51"/>
        <v/>
      </c>
      <c r="CM84" s="93" t="str">
        <f t="shared" si="34"/>
        <v/>
      </c>
      <c r="CN84" s="31" t="str">
        <f t="shared" si="52"/>
        <v/>
      </c>
      <c r="CO84" s="93" t="str">
        <f t="shared" si="35"/>
        <v/>
      </c>
      <c r="CP84" s="31" t="str">
        <f t="shared" si="53"/>
        <v/>
      </c>
      <c r="CQ84" s="26"/>
      <c r="CR84" s="32"/>
      <c r="CS84" s="26"/>
      <c r="CT84" s="26"/>
      <c r="CU84" s="26"/>
      <c r="CV84" s="32"/>
      <c r="CW84" s="26"/>
      <c r="CX84" s="26"/>
      <c r="CY84" s="26"/>
      <c r="CZ84" s="26"/>
    </row>
    <row r="85" ht="15.75" customHeight="1">
      <c r="A85" s="26"/>
      <c r="B85" s="26"/>
      <c r="C85" s="26"/>
      <c r="D85" s="26" t="str">
        <f t="shared" si="83"/>
        <v>Kya App Sure Hain? App Is Shift Ki  Time Entry Delete Karane Ja Rhae Hain</v>
      </c>
      <c r="E85" s="26" t="s">
        <v>171</v>
      </c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172</v>
      </c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93">
        <f t="shared" si="13"/>
        <v>82</v>
      </c>
      <c r="BB85" s="31">
        <f t="shared" si="36"/>
        <v>1.197916667</v>
      </c>
      <c r="BC85" s="94">
        <f t="shared" si="14"/>
        <v>82</v>
      </c>
      <c r="BD85" s="31">
        <f t="shared" si="37"/>
        <v>1.197916667</v>
      </c>
      <c r="BE85" s="95">
        <f t="shared" si="15"/>
        <v>1.197916667</v>
      </c>
      <c r="BF85" s="93" t="str">
        <f t="shared" si="16"/>
        <v/>
      </c>
      <c r="BG85" s="31" t="str">
        <f t="shared" si="54"/>
        <v/>
      </c>
      <c r="BH85" s="95" t="str">
        <f t="shared" si="17"/>
        <v/>
      </c>
      <c r="BI85" s="93" t="str">
        <f t="shared" si="18"/>
        <v/>
      </c>
      <c r="BJ85" s="31" t="str">
        <f t="shared" si="38"/>
        <v/>
      </c>
      <c r="BK85" s="95" t="str">
        <f t="shared" si="19"/>
        <v/>
      </c>
      <c r="BL85" s="93" t="str">
        <f t="shared" si="20"/>
        <v/>
      </c>
      <c r="BM85" s="31" t="str">
        <f t="shared" si="39"/>
        <v/>
      </c>
      <c r="BN85" s="95" t="str">
        <f t="shared" si="21"/>
        <v/>
      </c>
      <c r="BO85" s="93">
        <f t="shared" si="22"/>
        <v>82</v>
      </c>
      <c r="BP85" s="31">
        <f t="shared" si="40"/>
        <v>1.197916667</v>
      </c>
      <c r="BQ85" s="93" t="str">
        <f t="shared" si="23"/>
        <v/>
      </c>
      <c r="BR85" s="31" t="str">
        <f t="shared" si="41"/>
        <v/>
      </c>
      <c r="BS85" s="93" t="str">
        <f t="shared" si="24"/>
        <v/>
      </c>
      <c r="BT85" s="31" t="str">
        <f t="shared" si="42"/>
        <v/>
      </c>
      <c r="BU85" s="93" t="str">
        <f t="shared" si="25"/>
        <v/>
      </c>
      <c r="BV85" s="31" t="str">
        <f t="shared" si="43"/>
        <v/>
      </c>
      <c r="BW85" s="93" t="str">
        <f t="shared" si="26"/>
        <v/>
      </c>
      <c r="BX85" s="31" t="str">
        <f t="shared" si="44"/>
        <v/>
      </c>
      <c r="BY85" s="93" t="str">
        <f t="shared" si="27"/>
        <v/>
      </c>
      <c r="BZ85" s="31" t="str">
        <f t="shared" si="45"/>
        <v/>
      </c>
      <c r="CA85" s="93" t="str">
        <f t="shared" si="28"/>
        <v/>
      </c>
      <c r="CB85" s="31" t="str">
        <f t="shared" si="46"/>
        <v/>
      </c>
      <c r="CC85" s="93" t="str">
        <f t="shared" si="29"/>
        <v/>
      </c>
      <c r="CD85" s="31" t="str">
        <f t="shared" si="47"/>
        <v/>
      </c>
      <c r="CE85" s="93">
        <f t="shared" si="30"/>
        <v>82</v>
      </c>
      <c r="CF85" s="31">
        <f t="shared" si="48"/>
        <v>1.197916667</v>
      </c>
      <c r="CG85" s="93">
        <f t="shared" si="31"/>
        <v>82</v>
      </c>
      <c r="CH85" s="31">
        <f t="shared" si="49"/>
        <v>1.197916667</v>
      </c>
      <c r="CI85" s="93" t="str">
        <f t="shared" si="32"/>
        <v/>
      </c>
      <c r="CJ85" s="31" t="str">
        <f t="shared" si="50"/>
        <v/>
      </c>
      <c r="CK85" s="93" t="str">
        <f t="shared" si="33"/>
        <v/>
      </c>
      <c r="CL85" s="31" t="str">
        <f t="shared" si="51"/>
        <v/>
      </c>
      <c r="CM85" s="93" t="str">
        <f t="shared" si="34"/>
        <v/>
      </c>
      <c r="CN85" s="31" t="str">
        <f t="shared" si="52"/>
        <v/>
      </c>
      <c r="CO85" s="93" t="str">
        <f t="shared" si="35"/>
        <v/>
      </c>
      <c r="CP85" s="31" t="str">
        <f t="shared" si="53"/>
        <v/>
      </c>
      <c r="CQ85" s="26"/>
      <c r="CR85" s="32"/>
      <c r="CS85" s="26"/>
      <c r="CT85" s="26"/>
      <c r="CU85" s="26"/>
      <c r="CV85" s="32"/>
      <c r="CW85" s="26"/>
      <c r="CX85" s="26"/>
      <c r="CY85" s="26"/>
      <c r="CZ85" s="26"/>
    </row>
    <row r="86" ht="15.75" customHeight="1">
      <c r="A86" s="26"/>
      <c r="B86" s="26"/>
      <c r="C86" s="26"/>
      <c r="D86" s="26" t="str">
        <f t="shared" si="83"/>
        <v>Kya App Sure Hain? App Is Shift Ki Data Entry Aur Time Entry Delete Karane Ja Rhae Hain</v>
      </c>
      <c r="E86" s="26" t="s">
        <v>173</v>
      </c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174</v>
      </c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93">
        <f t="shared" si="13"/>
        <v>83</v>
      </c>
      <c r="BB86" s="31">
        <f t="shared" si="36"/>
        <v>1.201388889</v>
      </c>
      <c r="BC86" s="94">
        <f t="shared" si="14"/>
        <v>83</v>
      </c>
      <c r="BD86" s="31">
        <f t="shared" si="37"/>
        <v>1.201388889</v>
      </c>
      <c r="BE86" s="95">
        <f t="shared" si="15"/>
        <v>1.201388889</v>
      </c>
      <c r="BF86" s="93" t="str">
        <f t="shared" si="16"/>
        <v/>
      </c>
      <c r="BG86" s="31" t="str">
        <f t="shared" si="54"/>
        <v/>
      </c>
      <c r="BH86" s="95" t="str">
        <f t="shared" si="17"/>
        <v/>
      </c>
      <c r="BI86" s="93" t="str">
        <f t="shared" si="18"/>
        <v/>
      </c>
      <c r="BJ86" s="31" t="str">
        <f t="shared" si="38"/>
        <v/>
      </c>
      <c r="BK86" s="95" t="str">
        <f t="shared" si="19"/>
        <v/>
      </c>
      <c r="BL86" s="93" t="str">
        <f t="shared" si="20"/>
        <v/>
      </c>
      <c r="BM86" s="31" t="str">
        <f t="shared" si="39"/>
        <v/>
      </c>
      <c r="BN86" s="95" t="str">
        <f t="shared" si="21"/>
        <v/>
      </c>
      <c r="BO86" s="93">
        <f t="shared" si="22"/>
        <v>83</v>
      </c>
      <c r="BP86" s="31">
        <f t="shared" si="40"/>
        <v>1.201388889</v>
      </c>
      <c r="BQ86" s="93" t="str">
        <f t="shared" si="23"/>
        <v/>
      </c>
      <c r="BR86" s="31" t="str">
        <f t="shared" si="41"/>
        <v/>
      </c>
      <c r="BS86" s="93" t="str">
        <f t="shared" si="24"/>
        <v/>
      </c>
      <c r="BT86" s="31" t="str">
        <f t="shared" si="42"/>
        <v/>
      </c>
      <c r="BU86" s="93" t="str">
        <f t="shared" si="25"/>
        <v/>
      </c>
      <c r="BV86" s="31" t="str">
        <f t="shared" si="43"/>
        <v/>
      </c>
      <c r="BW86" s="93" t="str">
        <f t="shared" si="26"/>
        <v/>
      </c>
      <c r="BX86" s="31" t="str">
        <f t="shared" si="44"/>
        <v/>
      </c>
      <c r="BY86" s="93" t="str">
        <f t="shared" si="27"/>
        <v/>
      </c>
      <c r="BZ86" s="31" t="str">
        <f t="shared" si="45"/>
        <v/>
      </c>
      <c r="CA86" s="93" t="str">
        <f t="shared" si="28"/>
        <v/>
      </c>
      <c r="CB86" s="31" t="str">
        <f t="shared" si="46"/>
        <v/>
      </c>
      <c r="CC86" s="93" t="str">
        <f t="shared" si="29"/>
        <v/>
      </c>
      <c r="CD86" s="31" t="str">
        <f t="shared" si="47"/>
        <v/>
      </c>
      <c r="CE86" s="93">
        <f t="shared" si="30"/>
        <v>83</v>
      </c>
      <c r="CF86" s="31">
        <f t="shared" si="48"/>
        <v>1.201388889</v>
      </c>
      <c r="CG86" s="93">
        <f t="shared" si="31"/>
        <v>83</v>
      </c>
      <c r="CH86" s="31">
        <f t="shared" si="49"/>
        <v>1.201388889</v>
      </c>
      <c r="CI86" s="93" t="str">
        <f t="shared" si="32"/>
        <v/>
      </c>
      <c r="CJ86" s="31" t="str">
        <f t="shared" si="50"/>
        <v/>
      </c>
      <c r="CK86" s="93" t="str">
        <f t="shared" si="33"/>
        <v/>
      </c>
      <c r="CL86" s="31" t="str">
        <f t="shared" si="51"/>
        <v/>
      </c>
      <c r="CM86" s="93" t="str">
        <f t="shared" si="34"/>
        <v/>
      </c>
      <c r="CN86" s="31" t="str">
        <f t="shared" si="52"/>
        <v/>
      </c>
      <c r="CO86" s="93" t="str">
        <f t="shared" si="35"/>
        <v/>
      </c>
      <c r="CP86" s="31" t="str">
        <f t="shared" si="53"/>
        <v/>
      </c>
      <c r="CQ86" s="26"/>
      <c r="CR86" s="32"/>
      <c r="CS86" s="26"/>
      <c r="CT86" s="26"/>
      <c r="CU86" s="26"/>
      <c r="CV86" s="32"/>
      <c r="CW86" s="26"/>
      <c r="CX86" s="26"/>
      <c r="CY86" s="26"/>
      <c r="CZ86" s="26"/>
    </row>
    <row r="87" ht="15.75" customHeight="1">
      <c r="A87" s="26"/>
      <c r="B87" s="26"/>
      <c r="C87" s="26"/>
      <c r="D87" s="26" t="str">
        <f t="shared" si="83"/>
        <v>Ab Aap Naye LogSheet Ke Liye Tyaar Ho Rhe Hain</v>
      </c>
      <c r="E87" s="26" t="s">
        <v>175</v>
      </c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176</v>
      </c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93">
        <f t="shared" si="13"/>
        <v>84</v>
      </c>
      <c r="BB87" s="31">
        <f t="shared" si="36"/>
        <v>1.204861111</v>
      </c>
      <c r="BC87" s="94">
        <f t="shared" si="14"/>
        <v>84</v>
      </c>
      <c r="BD87" s="31">
        <f t="shared" si="37"/>
        <v>1.204861111</v>
      </c>
      <c r="BE87" s="95">
        <f t="shared" si="15"/>
        <v>1.204861111</v>
      </c>
      <c r="BF87" s="93" t="str">
        <f t="shared" si="16"/>
        <v/>
      </c>
      <c r="BG87" s="31" t="str">
        <f t="shared" si="54"/>
        <v/>
      </c>
      <c r="BH87" s="95" t="str">
        <f t="shared" si="17"/>
        <v/>
      </c>
      <c r="BI87" s="93" t="str">
        <f t="shared" si="18"/>
        <v/>
      </c>
      <c r="BJ87" s="31" t="str">
        <f t="shared" si="38"/>
        <v/>
      </c>
      <c r="BK87" s="95" t="str">
        <f t="shared" si="19"/>
        <v/>
      </c>
      <c r="BL87" s="93" t="str">
        <f t="shared" si="20"/>
        <v/>
      </c>
      <c r="BM87" s="31" t="str">
        <f t="shared" si="39"/>
        <v/>
      </c>
      <c r="BN87" s="95" t="str">
        <f t="shared" si="21"/>
        <v/>
      </c>
      <c r="BO87" s="93">
        <f t="shared" si="22"/>
        <v>84</v>
      </c>
      <c r="BP87" s="31">
        <f t="shared" si="40"/>
        <v>1.204861111</v>
      </c>
      <c r="BQ87" s="93" t="str">
        <f t="shared" si="23"/>
        <v/>
      </c>
      <c r="BR87" s="31" t="str">
        <f t="shared" si="41"/>
        <v/>
      </c>
      <c r="BS87" s="93" t="str">
        <f t="shared" si="24"/>
        <v/>
      </c>
      <c r="BT87" s="31" t="str">
        <f t="shared" si="42"/>
        <v/>
      </c>
      <c r="BU87" s="93" t="str">
        <f t="shared" si="25"/>
        <v/>
      </c>
      <c r="BV87" s="31" t="str">
        <f t="shared" si="43"/>
        <v/>
      </c>
      <c r="BW87" s="93" t="str">
        <f t="shared" si="26"/>
        <v/>
      </c>
      <c r="BX87" s="31" t="str">
        <f t="shared" si="44"/>
        <v/>
      </c>
      <c r="BY87" s="93" t="str">
        <f t="shared" si="27"/>
        <v/>
      </c>
      <c r="BZ87" s="31" t="str">
        <f t="shared" si="45"/>
        <v/>
      </c>
      <c r="CA87" s="93" t="str">
        <f t="shared" si="28"/>
        <v/>
      </c>
      <c r="CB87" s="31" t="str">
        <f t="shared" si="46"/>
        <v/>
      </c>
      <c r="CC87" s="93" t="str">
        <f t="shared" si="29"/>
        <v/>
      </c>
      <c r="CD87" s="31" t="str">
        <f t="shared" si="47"/>
        <v/>
      </c>
      <c r="CE87" s="93">
        <f t="shared" si="30"/>
        <v>84</v>
      </c>
      <c r="CF87" s="31">
        <f t="shared" si="48"/>
        <v>1.204861111</v>
      </c>
      <c r="CG87" s="93">
        <f t="shared" si="31"/>
        <v>84</v>
      </c>
      <c r="CH87" s="31">
        <f t="shared" si="49"/>
        <v>1.204861111</v>
      </c>
      <c r="CI87" s="93" t="str">
        <f t="shared" si="32"/>
        <v/>
      </c>
      <c r="CJ87" s="31" t="str">
        <f t="shared" si="50"/>
        <v/>
      </c>
      <c r="CK87" s="93" t="str">
        <f t="shared" si="33"/>
        <v/>
      </c>
      <c r="CL87" s="31" t="str">
        <f t="shared" si="51"/>
        <v/>
      </c>
      <c r="CM87" s="93" t="str">
        <f t="shared" si="34"/>
        <v/>
      </c>
      <c r="CN87" s="31" t="str">
        <f t="shared" si="52"/>
        <v/>
      </c>
      <c r="CO87" s="93" t="str">
        <f t="shared" si="35"/>
        <v/>
      </c>
      <c r="CP87" s="31" t="str">
        <f t="shared" si="53"/>
        <v/>
      </c>
      <c r="CQ87" s="26"/>
      <c r="CR87" s="32"/>
      <c r="CS87" s="26"/>
      <c r="CT87" s="26"/>
      <c r="CU87" s="26"/>
      <c r="CV87" s="32"/>
      <c r="CW87" s="26"/>
      <c r="CX87" s="26"/>
      <c r="CY87" s="26"/>
      <c r="CZ87" s="26"/>
    </row>
    <row r="88" ht="15.7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93">
        <f t="shared" si="13"/>
        <v>85</v>
      </c>
      <c r="BB88" s="31">
        <f t="shared" si="36"/>
        <v>1.208333333</v>
      </c>
      <c r="BC88" s="94">
        <f t="shared" si="14"/>
        <v>85</v>
      </c>
      <c r="BD88" s="31">
        <f t="shared" si="37"/>
        <v>1.208333333</v>
      </c>
      <c r="BE88" s="95">
        <f t="shared" si="15"/>
        <v>1.208333333</v>
      </c>
      <c r="BF88" s="93" t="str">
        <f t="shared" si="16"/>
        <v/>
      </c>
      <c r="BG88" s="31" t="str">
        <f t="shared" si="54"/>
        <v/>
      </c>
      <c r="BH88" s="95" t="str">
        <f t="shared" si="17"/>
        <v/>
      </c>
      <c r="BI88" s="93" t="str">
        <f t="shared" si="18"/>
        <v/>
      </c>
      <c r="BJ88" s="31" t="str">
        <f t="shared" si="38"/>
        <v/>
      </c>
      <c r="BK88" s="95" t="str">
        <f t="shared" si="19"/>
        <v/>
      </c>
      <c r="BL88" s="93" t="str">
        <f t="shared" si="20"/>
        <v/>
      </c>
      <c r="BM88" s="31" t="str">
        <f t="shared" si="39"/>
        <v/>
      </c>
      <c r="BN88" s="95" t="str">
        <f t="shared" si="21"/>
        <v/>
      </c>
      <c r="BO88" s="93">
        <f t="shared" si="22"/>
        <v>85</v>
      </c>
      <c r="BP88" s="31">
        <f t="shared" si="40"/>
        <v>1.208333333</v>
      </c>
      <c r="BQ88" s="93" t="str">
        <f t="shared" si="23"/>
        <v/>
      </c>
      <c r="BR88" s="31" t="str">
        <f t="shared" si="41"/>
        <v/>
      </c>
      <c r="BS88" s="93" t="str">
        <f t="shared" si="24"/>
        <v/>
      </c>
      <c r="BT88" s="31" t="str">
        <f t="shared" si="42"/>
        <v/>
      </c>
      <c r="BU88" s="93" t="str">
        <f t="shared" si="25"/>
        <v/>
      </c>
      <c r="BV88" s="31" t="str">
        <f t="shared" si="43"/>
        <v/>
      </c>
      <c r="BW88" s="93" t="str">
        <f t="shared" si="26"/>
        <v/>
      </c>
      <c r="BX88" s="31" t="str">
        <f t="shared" si="44"/>
        <v/>
      </c>
      <c r="BY88" s="93" t="str">
        <f t="shared" si="27"/>
        <v/>
      </c>
      <c r="BZ88" s="31" t="str">
        <f t="shared" si="45"/>
        <v/>
      </c>
      <c r="CA88" s="93" t="str">
        <f t="shared" si="28"/>
        <v/>
      </c>
      <c r="CB88" s="31" t="str">
        <f t="shared" si="46"/>
        <v/>
      </c>
      <c r="CC88" s="93" t="str">
        <f t="shared" si="29"/>
        <v/>
      </c>
      <c r="CD88" s="31" t="str">
        <f t="shared" si="47"/>
        <v/>
      </c>
      <c r="CE88" s="93">
        <f t="shared" si="30"/>
        <v>85</v>
      </c>
      <c r="CF88" s="31">
        <f t="shared" si="48"/>
        <v>1.208333333</v>
      </c>
      <c r="CG88" s="93">
        <f t="shared" si="31"/>
        <v>85</v>
      </c>
      <c r="CH88" s="31">
        <f t="shared" si="49"/>
        <v>1.208333333</v>
      </c>
      <c r="CI88" s="93" t="str">
        <f t="shared" si="32"/>
        <v/>
      </c>
      <c r="CJ88" s="31" t="str">
        <f t="shared" si="50"/>
        <v/>
      </c>
      <c r="CK88" s="93" t="str">
        <f t="shared" si="33"/>
        <v/>
      </c>
      <c r="CL88" s="31" t="str">
        <f t="shared" si="51"/>
        <v/>
      </c>
      <c r="CM88" s="93" t="str">
        <f t="shared" si="34"/>
        <v/>
      </c>
      <c r="CN88" s="31" t="str">
        <f t="shared" si="52"/>
        <v/>
      </c>
      <c r="CO88" s="93" t="str">
        <f t="shared" si="35"/>
        <v/>
      </c>
      <c r="CP88" s="31" t="str">
        <f t="shared" si="53"/>
        <v/>
      </c>
      <c r="CQ88" s="26"/>
      <c r="CR88" s="32"/>
      <c r="CS88" s="26"/>
      <c r="CT88" s="26"/>
      <c r="CU88" s="26"/>
      <c r="CV88" s="32"/>
      <c r="CW88" s="26"/>
      <c r="CX88" s="26"/>
      <c r="CY88" s="26"/>
      <c r="CZ88" s="26"/>
    </row>
    <row r="89" ht="15.75" customHeight="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93">
        <f t="shared" si="13"/>
        <v>86</v>
      </c>
      <c r="BB89" s="31">
        <f t="shared" si="36"/>
        <v>1.211805556</v>
      </c>
      <c r="BC89" s="94">
        <f t="shared" si="14"/>
        <v>86</v>
      </c>
      <c r="BD89" s="31">
        <f t="shared" si="37"/>
        <v>1.211805556</v>
      </c>
      <c r="BE89" s="95">
        <f t="shared" si="15"/>
        <v>1.211805556</v>
      </c>
      <c r="BF89" s="93" t="str">
        <f t="shared" si="16"/>
        <v/>
      </c>
      <c r="BG89" s="31" t="str">
        <f t="shared" si="54"/>
        <v/>
      </c>
      <c r="BH89" s="95" t="str">
        <f t="shared" si="17"/>
        <v/>
      </c>
      <c r="BI89" s="93" t="str">
        <f t="shared" si="18"/>
        <v/>
      </c>
      <c r="BJ89" s="31" t="str">
        <f t="shared" si="38"/>
        <v/>
      </c>
      <c r="BK89" s="95" t="str">
        <f t="shared" si="19"/>
        <v/>
      </c>
      <c r="BL89" s="93" t="str">
        <f t="shared" si="20"/>
        <v/>
      </c>
      <c r="BM89" s="31" t="str">
        <f t="shared" si="39"/>
        <v/>
      </c>
      <c r="BN89" s="95" t="str">
        <f t="shared" si="21"/>
        <v/>
      </c>
      <c r="BO89" s="93">
        <f t="shared" si="22"/>
        <v>86</v>
      </c>
      <c r="BP89" s="31">
        <f t="shared" si="40"/>
        <v>1.211805556</v>
      </c>
      <c r="BQ89" s="93" t="str">
        <f t="shared" si="23"/>
        <v/>
      </c>
      <c r="BR89" s="31" t="str">
        <f t="shared" si="41"/>
        <v/>
      </c>
      <c r="BS89" s="93" t="str">
        <f t="shared" si="24"/>
        <v/>
      </c>
      <c r="BT89" s="31" t="str">
        <f t="shared" si="42"/>
        <v/>
      </c>
      <c r="BU89" s="93" t="str">
        <f t="shared" si="25"/>
        <v/>
      </c>
      <c r="BV89" s="31" t="str">
        <f t="shared" si="43"/>
        <v/>
      </c>
      <c r="BW89" s="93" t="str">
        <f t="shared" si="26"/>
        <v/>
      </c>
      <c r="BX89" s="31" t="str">
        <f t="shared" si="44"/>
        <v/>
      </c>
      <c r="BY89" s="93" t="str">
        <f t="shared" si="27"/>
        <v/>
      </c>
      <c r="BZ89" s="31" t="str">
        <f t="shared" si="45"/>
        <v/>
      </c>
      <c r="CA89" s="93" t="str">
        <f t="shared" si="28"/>
        <v/>
      </c>
      <c r="CB89" s="31" t="str">
        <f t="shared" si="46"/>
        <v/>
      </c>
      <c r="CC89" s="93" t="str">
        <f t="shared" si="29"/>
        <v/>
      </c>
      <c r="CD89" s="31" t="str">
        <f t="shared" si="47"/>
        <v/>
      </c>
      <c r="CE89" s="93">
        <f t="shared" si="30"/>
        <v>86</v>
      </c>
      <c r="CF89" s="31">
        <f t="shared" si="48"/>
        <v>1.211805556</v>
      </c>
      <c r="CG89" s="93">
        <f t="shared" si="31"/>
        <v>86</v>
      </c>
      <c r="CH89" s="31">
        <f t="shared" si="49"/>
        <v>1.211805556</v>
      </c>
      <c r="CI89" s="93" t="str">
        <f t="shared" si="32"/>
        <v/>
      </c>
      <c r="CJ89" s="31" t="str">
        <f t="shared" si="50"/>
        <v/>
      </c>
      <c r="CK89" s="93" t="str">
        <f t="shared" si="33"/>
        <v/>
      </c>
      <c r="CL89" s="31" t="str">
        <f t="shared" si="51"/>
        <v/>
      </c>
      <c r="CM89" s="93" t="str">
        <f t="shared" si="34"/>
        <v/>
      </c>
      <c r="CN89" s="31" t="str">
        <f t="shared" si="52"/>
        <v/>
      </c>
      <c r="CO89" s="93" t="str">
        <f t="shared" si="35"/>
        <v/>
      </c>
      <c r="CP89" s="31" t="str">
        <f t="shared" si="53"/>
        <v/>
      </c>
      <c r="CQ89" s="26"/>
      <c r="CR89" s="32"/>
      <c r="CS89" s="26"/>
      <c r="CT89" s="26"/>
      <c r="CU89" s="26"/>
      <c r="CV89" s="32"/>
      <c r="CW89" s="26"/>
      <c r="CX89" s="26"/>
      <c r="CY89" s="26"/>
      <c r="CZ89" s="26"/>
    </row>
    <row r="90" ht="15.75" customHeight="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93">
        <f t="shared" si="13"/>
        <v>87</v>
      </c>
      <c r="BB90" s="31">
        <f t="shared" si="36"/>
        <v>1.215277778</v>
      </c>
      <c r="BC90" s="94">
        <f t="shared" si="14"/>
        <v>87</v>
      </c>
      <c r="BD90" s="31">
        <f t="shared" si="37"/>
        <v>1.215277778</v>
      </c>
      <c r="BE90" s="95">
        <f t="shared" si="15"/>
        <v>1.215277778</v>
      </c>
      <c r="BF90" s="93" t="str">
        <f t="shared" si="16"/>
        <v/>
      </c>
      <c r="BG90" s="31" t="str">
        <f t="shared" si="54"/>
        <v/>
      </c>
      <c r="BH90" s="95" t="str">
        <f t="shared" si="17"/>
        <v/>
      </c>
      <c r="BI90" s="93" t="str">
        <f t="shared" si="18"/>
        <v/>
      </c>
      <c r="BJ90" s="31" t="str">
        <f t="shared" si="38"/>
        <v/>
      </c>
      <c r="BK90" s="95" t="str">
        <f t="shared" si="19"/>
        <v/>
      </c>
      <c r="BL90" s="93" t="str">
        <f t="shared" si="20"/>
        <v/>
      </c>
      <c r="BM90" s="31" t="str">
        <f t="shared" si="39"/>
        <v/>
      </c>
      <c r="BN90" s="95" t="str">
        <f t="shared" si="21"/>
        <v/>
      </c>
      <c r="BO90" s="93">
        <f t="shared" si="22"/>
        <v>87</v>
      </c>
      <c r="BP90" s="31">
        <f t="shared" si="40"/>
        <v>1.215277778</v>
      </c>
      <c r="BQ90" s="93" t="str">
        <f t="shared" si="23"/>
        <v/>
      </c>
      <c r="BR90" s="31" t="str">
        <f t="shared" si="41"/>
        <v/>
      </c>
      <c r="BS90" s="93" t="str">
        <f t="shared" si="24"/>
        <v/>
      </c>
      <c r="BT90" s="31" t="str">
        <f t="shared" si="42"/>
        <v/>
      </c>
      <c r="BU90" s="93" t="str">
        <f t="shared" si="25"/>
        <v/>
      </c>
      <c r="BV90" s="31" t="str">
        <f t="shared" si="43"/>
        <v/>
      </c>
      <c r="BW90" s="93" t="str">
        <f t="shared" si="26"/>
        <v/>
      </c>
      <c r="BX90" s="31" t="str">
        <f t="shared" si="44"/>
        <v/>
      </c>
      <c r="BY90" s="93" t="str">
        <f t="shared" si="27"/>
        <v/>
      </c>
      <c r="BZ90" s="31" t="str">
        <f t="shared" si="45"/>
        <v/>
      </c>
      <c r="CA90" s="93" t="str">
        <f t="shared" si="28"/>
        <v/>
      </c>
      <c r="CB90" s="31" t="str">
        <f t="shared" si="46"/>
        <v/>
      </c>
      <c r="CC90" s="93" t="str">
        <f t="shared" si="29"/>
        <v/>
      </c>
      <c r="CD90" s="31" t="str">
        <f t="shared" si="47"/>
        <v/>
      </c>
      <c r="CE90" s="93">
        <f t="shared" si="30"/>
        <v>87</v>
      </c>
      <c r="CF90" s="31">
        <f t="shared" si="48"/>
        <v>1.215277778</v>
      </c>
      <c r="CG90" s="93">
        <f t="shared" si="31"/>
        <v>87</v>
      </c>
      <c r="CH90" s="31">
        <f t="shared" si="49"/>
        <v>1.215277778</v>
      </c>
      <c r="CI90" s="93" t="str">
        <f t="shared" si="32"/>
        <v/>
      </c>
      <c r="CJ90" s="31" t="str">
        <f t="shared" si="50"/>
        <v/>
      </c>
      <c r="CK90" s="93" t="str">
        <f t="shared" si="33"/>
        <v/>
      </c>
      <c r="CL90" s="31" t="str">
        <f t="shared" si="51"/>
        <v/>
      </c>
      <c r="CM90" s="93" t="str">
        <f t="shared" si="34"/>
        <v/>
      </c>
      <c r="CN90" s="31" t="str">
        <f t="shared" si="52"/>
        <v/>
      </c>
      <c r="CO90" s="93" t="str">
        <f t="shared" si="35"/>
        <v/>
      </c>
      <c r="CP90" s="31" t="str">
        <f t="shared" si="53"/>
        <v/>
      </c>
      <c r="CQ90" s="26"/>
      <c r="CR90" s="32"/>
      <c r="CS90" s="26"/>
      <c r="CT90" s="26"/>
      <c r="CU90" s="26"/>
      <c r="CV90" s="32"/>
      <c r="CW90" s="26"/>
      <c r="CX90" s="26"/>
      <c r="CY90" s="26"/>
      <c r="CZ90" s="26"/>
    </row>
    <row r="91" ht="15.75" customHeight="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93">
        <f t="shared" si="13"/>
        <v>88</v>
      </c>
      <c r="BB91" s="31">
        <f t="shared" si="36"/>
        <v>1.21875</v>
      </c>
      <c r="BC91" s="94">
        <f t="shared" si="14"/>
        <v>88</v>
      </c>
      <c r="BD91" s="31">
        <f t="shared" si="37"/>
        <v>1.21875</v>
      </c>
      <c r="BE91" s="95">
        <f t="shared" si="15"/>
        <v>1.21875</v>
      </c>
      <c r="BF91" s="93" t="str">
        <f t="shared" si="16"/>
        <v/>
      </c>
      <c r="BG91" s="31" t="str">
        <f t="shared" si="54"/>
        <v/>
      </c>
      <c r="BH91" s="95" t="str">
        <f t="shared" si="17"/>
        <v/>
      </c>
      <c r="BI91" s="93" t="str">
        <f t="shared" si="18"/>
        <v/>
      </c>
      <c r="BJ91" s="31" t="str">
        <f t="shared" si="38"/>
        <v/>
      </c>
      <c r="BK91" s="95" t="str">
        <f t="shared" si="19"/>
        <v/>
      </c>
      <c r="BL91" s="93" t="str">
        <f t="shared" si="20"/>
        <v/>
      </c>
      <c r="BM91" s="31" t="str">
        <f t="shared" si="39"/>
        <v/>
      </c>
      <c r="BN91" s="95" t="str">
        <f t="shared" si="21"/>
        <v/>
      </c>
      <c r="BO91" s="93">
        <f t="shared" si="22"/>
        <v>88</v>
      </c>
      <c r="BP91" s="31">
        <f t="shared" si="40"/>
        <v>1.21875</v>
      </c>
      <c r="BQ91" s="93" t="str">
        <f t="shared" si="23"/>
        <v/>
      </c>
      <c r="BR91" s="31" t="str">
        <f t="shared" si="41"/>
        <v/>
      </c>
      <c r="BS91" s="93" t="str">
        <f t="shared" si="24"/>
        <v/>
      </c>
      <c r="BT91" s="31" t="str">
        <f t="shared" si="42"/>
        <v/>
      </c>
      <c r="BU91" s="93" t="str">
        <f t="shared" si="25"/>
        <v/>
      </c>
      <c r="BV91" s="31" t="str">
        <f t="shared" si="43"/>
        <v/>
      </c>
      <c r="BW91" s="93" t="str">
        <f t="shared" si="26"/>
        <v/>
      </c>
      <c r="BX91" s="31" t="str">
        <f t="shared" si="44"/>
        <v/>
      </c>
      <c r="BY91" s="93" t="str">
        <f t="shared" si="27"/>
        <v/>
      </c>
      <c r="BZ91" s="31" t="str">
        <f t="shared" si="45"/>
        <v/>
      </c>
      <c r="CA91" s="93" t="str">
        <f t="shared" si="28"/>
        <v/>
      </c>
      <c r="CB91" s="31" t="str">
        <f t="shared" si="46"/>
        <v/>
      </c>
      <c r="CC91" s="93" t="str">
        <f t="shared" si="29"/>
        <v/>
      </c>
      <c r="CD91" s="31" t="str">
        <f t="shared" si="47"/>
        <v/>
      </c>
      <c r="CE91" s="93">
        <f t="shared" si="30"/>
        <v>88</v>
      </c>
      <c r="CF91" s="31">
        <f t="shared" si="48"/>
        <v>1.21875</v>
      </c>
      <c r="CG91" s="93">
        <f t="shared" si="31"/>
        <v>88</v>
      </c>
      <c r="CH91" s="31">
        <f t="shared" si="49"/>
        <v>1.21875</v>
      </c>
      <c r="CI91" s="93" t="str">
        <f t="shared" si="32"/>
        <v/>
      </c>
      <c r="CJ91" s="31" t="str">
        <f t="shared" si="50"/>
        <v/>
      </c>
      <c r="CK91" s="93" t="str">
        <f t="shared" si="33"/>
        <v/>
      </c>
      <c r="CL91" s="31" t="str">
        <f t="shared" si="51"/>
        <v/>
      </c>
      <c r="CM91" s="93" t="str">
        <f t="shared" si="34"/>
        <v/>
      </c>
      <c r="CN91" s="31" t="str">
        <f t="shared" si="52"/>
        <v/>
      </c>
      <c r="CO91" s="93" t="str">
        <f t="shared" si="35"/>
        <v/>
      </c>
      <c r="CP91" s="31" t="str">
        <f t="shared" si="53"/>
        <v/>
      </c>
      <c r="CQ91" s="26"/>
      <c r="CR91" s="32"/>
      <c r="CS91" s="26"/>
      <c r="CT91" s="26"/>
      <c r="CU91" s="26"/>
      <c r="CV91" s="32"/>
      <c r="CW91" s="26"/>
      <c r="CX91" s="26"/>
      <c r="CY91" s="26"/>
      <c r="CZ91" s="26"/>
    </row>
    <row r="92" ht="15.75" customHeight="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93">
        <f t="shared" si="13"/>
        <v>89</v>
      </c>
      <c r="BB92" s="31">
        <f t="shared" si="36"/>
        <v>1.222222222</v>
      </c>
      <c r="BC92" s="94">
        <f t="shared" si="14"/>
        <v>89</v>
      </c>
      <c r="BD92" s="31">
        <f t="shared" si="37"/>
        <v>1.222222222</v>
      </c>
      <c r="BE92" s="95">
        <f t="shared" si="15"/>
        <v>1.222222222</v>
      </c>
      <c r="BF92" s="93" t="str">
        <f t="shared" si="16"/>
        <v/>
      </c>
      <c r="BG92" s="31" t="str">
        <f t="shared" si="54"/>
        <v/>
      </c>
      <c r="BH92" s="95" t="str">
        <f t="shared" si="17"/>
        <v/>
      </c>
      <c r="BI92" s="93" t="str">
        <f t="shared" si="18"/>
        <v/>
      </c>
      <c r="BJ92" s="31" t="str">
        <f t="shared" si="38"/>
        <v/>
      </c>
      <c r="BK92" s="95" t="str">
        <f t="shared" si="19"/>
        <v/>
      </c>
      <c r="BL92" s="93" t="str">
        <f t="shared" si="20"/>
        <v/>
      </c>
      <c r="BM92" s="31" t="str">
        <f t="shared" si="39"/>
        <v/>
      </c>
      <c r="BN92" s="95" t="str">
        <f t="shared" si="21"/>
        <v/>
      </c>
      <c r="BO92" s="93">
        <f t="shared" si="22"/>
        <v>89</v>
      </c>
      <c r="BP92" s="31">
        <f t="shared" si="40"/>
        <v>1.222222222</v>
      </c>
      <c r="BQ92" s="93" t="str">
        <f t="shared" si="23"/>
        <v/>
      </c>
      <c r="BR92" s="31" t="str">
        <f t="shared" si="41"/>
        <v/>
      </c>
      <c r="BS92" s="93" t="str">
        <f t="shared" si="24"/>
        <v/>
      </c>
      <c r="BT92" s="31" t="str">
        <f t="shared" si="42"/>
        <v/>
      </c>
      <c r="BU92" s="93" t="str">
        <f t="shared" si="25"/>
        <v/>
      </c>
      <c r="BV92" s="31" t="str">
        <f t="shared" si="43"/>
        <v/>
      </c>
      <c r="BW92" s="93" t="str">
        <f t="shared" si="26"/>
        <v/>
      </c>
      <c r="BX92" s="31" t="str">
        <f t="shared" si="44"/>
        <v/>
      </c>
      <c r="BY92" s="93" t="str">
        <f t="shared" si="27"/>
        <v/>
      </c>
      <c r="BZ92" s="31" t="str">
        <f t="shared" si="45"/>
        <v/>
      </c>
      <c r="CA92" s="93" t="str">
        <f t="shared" si="28"/>
        <v/>
      </c>
      <c r="CB92" s="31" t="str">
        <f t="shared" si="46"/>
        <v/>
      </c>
      <c r="CC92" s="93" t="str">
        <f t="shared" si="29"/>
        <v/>
      </c>
      <c r="CD92" s="31" t="str">
        <f t="shared" si="47"/>
        <v/>
      </c>
      <c r="CE92" s="93">
        <f t="shared" si="30"/>
        <v>89</v>
      </c>
      <c r="CF92" s="31">
        <f t="shared" si="48"/>
        <v>1.222222222</v>
      </c>
      <c r="CG92" s="93">
        <f t="shared" si="31"/>
        <v>89</v>
      </c>
      <c r="CH92" s="31">
        <f t="shared" si="49"/>
        <v>1.222222222</v>
      </c>
      <c r="CI92" s="93" t="str">
        <f t="shared" si="32"/>
        <v/>
      </c>
      <c r="CJ92" s="31" t="str">
        <f t="shared" si="50"/>
        <v/>
      </c>
      <c r="CK92" s="93" t="str">
        <f t="shared" si="33"/>
        <v/>
      </c>
      <c r="CL92" s="31" t="str">
        <f t="shared" si="51"/>
        <v/>
      </c>
      <c r="CM92" s="93" t="str">
        <f t="shared" si="34"/>
        <v/>
      </c>
      <c r="CN92" s="31" t="str">
        <f t="shared" si="52"/>
        <v/>
      </c>
      <c r="CO92" s="93" t="str">
        <f t="shared" si="35"/>
        <v/>
      </c>
      <c r="CP92" s="31" t="str">
        <f t="shared" si="53"/>
        <v/>
      </c>
      <c r="CQ92" s="26"/>
      <c r="CR92" s="32"/>
      <c r="CS92" s="26"/>
      <c r="CT92" s="26"/>
      <c r="CU92" s="26"/>
      <c r="CV92" s="32"/>
      <c r="CW92" s="26"/>
      <c r="CX92" s="26"/>
      <c r="CY92" s="26"/>
      <c r="CZ92" s="26"/>
    </row>
    <row r="93" ht="15.75" customHeight="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93">
        <f t="shared" si="13"/>
        <v>90</v>
      </c>
      <c r="BB93" s="31">
        <f t="shared" si="36"/>
        <v>1.225694444</v>
      </c>
      <c r="BC93" s="94">
        <f t="shared" si="14"/>
        <v>90</v>
      </c>
      <c r="BD93" s="31">
        <f t="shared" si="37"/>
        <v>1.225694444</v>
      </c>
      <c r="BE93" s="95">
        <f t="shared" si="15"/>
        <v>1.225694444</v>
      </c>
      <c r="BF93" s="93" t="str">
        <f t="shared" si="16"/>
        <v/>
      </c>
      <c r="BG93" s="31" t="str">
        <f t="shared" si="54"/>
        <v/>
      </c>
      <c r="BH93" s="95" t="str">
        <f t="shared" si="17"/>
        <v/>
      </c>
      <c r="BI93" s="93" t="str">
        <f t="shared" si="18"/>
        <v/>
      </c>
      <c r="BJ93" s="31" t="str">
        <f t="shared" si="38"/>
        <v/>
      </c>
      <c r="BK93" s="95" t="str">
        <f t="shared" si="19"/>
        <v/>
      </c>
      <c r="BL93" s="93" t="str">
        <f t="shared" si="20"/>
        <v/>
      </c>
      <c r="BM93" s="31" t="str">
        <f t="shared" si="39"/>
        <v/>
      </c>
      <c r="BN93" s="95" t="str">
        <f t="shared" si="21"/>
        <v/>
      </c>
      <c r="BO93" s="93">
        <f t="shared" si="22"/>
        <v>90</v>
      </c>
      <c r="BP93" s="31">
        <f t="shared" si="40"/>
        <v>1.225694444</v>
      </c>
      <c r="BQ93" s="93" t="str">
        <f t="shared" si="23"/>
        <v/>
      </c>
      <c r="BR93" s="31" t="str">
        <f t="shared" si="41"/>
        <v/>
      </c>
      <c r="BS93" s="93" t="str">
        <f t="shared" si="24"/>
        <v/>
      </c>
      <c r="BT93" s="31" t="str">
        <f t="shared" si="42"/>
        <v/>
      </c>
      <c r="BU93" s="93" t="str">
        <f t="shared" si="25"/>
        <v/>
      </c>
      <c r="BV93" s="31" t="str">
        <f t="shared" si="43"/>
        <v/>
      </c>
      <c r="BW93" s="93" t="str">
        <f t="shared" si="26"/>
        <v/>
      </c>
      <c r="BX93" s="31" t="str">
        <f t="shared" si="44"/>
        <v/>
      </c>
      <c r="BY93" s="93" t="str">
        <f t="shared" si="27"/>
        <v/>
      </c>
      <c r="BZ93" s="31" t="str">
        <f t="shared" si="45"/>
        <v/>
      </c>
      <c r="CA93" s="93" t="str">
        <f t="shared" si="28"/>
        <v/>
      </c>
      <c r="CB93" s="31" t="str">
        <f t="shared" si="46"/>
        <v/>
      </c>
      <c r="CC93" s="93" t="str">
        <f t="shared" si="29"/>
        <v/>
      </c>
      <c r="CD93" s="31" t="str">
        <f t="shared" si="47"/>
        <v/>
      </c>
      <c r="CE93" s="93">
        <f t="shared" si="30"/>
        <v>90</v>
      </c>
      <c r="CF93" s="31">
        <f t="shared" si="48"/>
        <v>1.225694444</v>
      </c>
      <c r="CG93" s="93">
        <f t="shared" si="31"/>
        <v>90</v>
      </c>
      <c r="CH93" s="31">
        <f t="shared" si="49"/>
        <v>1.225694444</v>
      </c>
      <c r="CI93" s="93" t="str">
        <f t="shared" si="32"/>
        <v/>
      </c>
      <c r="CJ93" s="31" t="str">
        <f t="shared" si="50"/>
        <v/>
      </c>
      <c r="CK93" s="93" t="str">
        <f t="shared" si="33"/>
        <v/>
      </c>
      <c r="CL93" s="31" t="str">
        <f t="shared" si="51"/>
        <v/>
      </c>
      <c r="CM93" s="93" t="str">
        <f t="shared" si="34"/>
        <v/>
      </c>
      <c r="CN93" s="31" t="str">
        <f t="shared" si="52"/>
        <v/>
      </c>
      <c r="CO93" s="93" t="str">
        <f t="shared" si="35"/>
        <v/>
      </c>
      <c r="CP93" s="31" t="str">
        <f t="shared" si="53"/>
        <v/>
      </c>
      <c r="CQ93" s="26"/>
      <c r="CR93" s="32"/>
      <c r="CS93" s="26"/>
      <c r="CT93" s="26"/>
      <c r="CU93" s="26"/>
      <c r="CV93" s="32"/>
      <c r="CW93" s="26"/>
      <c r="CX93" s="26"/>
      <c r="CY93" s="26"/>
      <c r="CZ93" s="26"/>
    </row>
    <row r="94" ht="15.75" customHeight="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93">
        <f t="shared" si="13"/>
        <v>91</v>
      </c>
      <c r="BB94" s="31">
        <f t="shared" si="36"/>
        <v>1.229166667</v>
      </c>
      <c r="BC94" s="94">
        <f t="shared" si="14"/>
        <v>91</v>
      </c>
      <c r="BD94" s="31">
        <f t="shared" si="37"/>
        <v>1.229166667</v>
      </c>
      <c r="BE94" s="95">
        <f t="shared" si="15"/>
        <v>1.229166667</v>
      </c>
      <c r="BF94" s="93" t="str">
        <f t="shared" si="16"/>
        <v/>
      </c>
      <c r="BG94" s="31" t="str">
        <f t="shared" si="54"/>
        <v/>
      </c>
      <c r="BH94" s="95" t="str">
        <f t="shared" si="17"/>
        <v/>
      </c>
      <c r="BI94" s="93" t="str">
        <f t="shared" si="18"/>
        <v/>
      </c>
      <c r="BJ94" s="31" t="str">
        <f t="shared" si="38"/>
        <v/>
      </c>
      <c r="BK94" s="95" t="str">
        <f t="shared" si="19"/>
        <v/>
      </c>
      <c r="BL94" s="93" t="str">
        <f t="shared" si="20"/>
        <v/>
      </c>
      <c r="BM94" s="31" t="str">
        <f t="shared" si="39"/>
        <v/>
      </c>
      <c r="BN94" s="95" t="str">
        <f t="shared" si="21"/>
        <v/>
      </c>
      <c r="BO94" s="93">
        <f t="shared" si="22"/>
        <v>91</v>
      </c>
      <c r="BP94" s="31">
        <f t="shared" si="40"/>
        <v>1.229166667</v>
      </c>
      <c r="BQ94" s="93" t="str">
        <f t="shared" si="23"/>
        <v/>
      </c>
      <c r="BR94" s="31" t="str">
        <f t="shared" si="41"/>
        <v/>
      </c>
      <c r="BS94" s="93" t="str">
        <f t="shared" si="24"/>
        <v/>
      </c>
      <c r="BT94" s="31" t="str">
        <f t="shared" si="42"/>
        <v/>
      </c>
      <c r="BU94" s="93" t="str">
        <f t="shared" si="25"/>
        <v/>
      </c>
      <c r="BV94" s="31" t="str">
        <f t="shared" si="43"/>
        <v/>
      </c>
      <c r="BW94" s="93" t="str">
        <f t="shared" si="26"/>
        <v/>
      </c>
      <c r="BX94" s="31" t="str">
        <f t="shared" si="44"/>
        <v/>
      </c>
      <c r="BY94" s="93" t="str">
        <f t="shared" si="27"/>
        <v/>
      </c>
      <c r="BZ94" s="31" t="str">
        <f t="shared" si="45"/>
        <v/>
      </c>
      <c r="CA94" s="93" t="str">
        <f t="shared" si="28"/>
        <v/>
      </c>
      <c r="CB94" s="31" t="str">
        <f t="shared" si="46"/>
        <v/>
      </c>
      <c r="CC94" s="93" t="str">
        <f t="shared" si="29"/>
        <v/>
      </c>
      <c r="CD94" s="31" t="str">
        <f t="shared" si="47"/>
        <v/>
      </c>
      <c r="CE94" s="93">
        <f t="shared" si="30"/>
        <v>91</v>
      </c>
      <c r="CF94" s="31">
        <f t="shared" si="48"/>
        <v>1.229166667</v>
      </c>
      <c r="CG94" s="93">
        <f t="shared" si="31"/>
        <v>91</v>
      </c>
      <c r="CH94" s="31">
        <f t="shared" si="49"/>
        <v>1.229166667</v>
      </c>
      <c r="CI94" s="93" t="str">
        <f t="shared" si="32"/>
        <v/>
      </c>
      <c r="CJ94" s="31" t="str">
        <f t="shared" si="50"/>
        <v/>
      </c>
      <c r="CK94" s="93" t="str">
        <f t="shared" si="33"/>
        <v/>
      </c>
      <c r="CL94" s="31" t="str">
        <f t="shared" si="51"/>
        <v/>
      </c>
      <c r="CM94" s="93" t="str">
        <f t="shared" si="34"/>
        <v/>
      </c>
      <c r="CN94" s="31" t="str">
        <f t="shared" si="52"/>
        <v/>
      </c>
      <c r="CO94" s="93" t="str">
        <f t="shared" si="35"/>
        <v/>
      </c>
      <c r="CP94" s="31" t="str">
        <f t="shared" si="53"/>
        <v/>
      </c>
      <c r="CQ94" s="26"/>
      <c r="CR94" s="32"/>
      <c r="CS94" s="26"/>
      <c r="CT94" s="26"/>
      <c r="CU94" s="26"/>
      <c r="CV94" s="32"/>
      <c r="CW94" s="26"/>
      <c r="CX94" s="26"/>
      <c r="CY94" s="26"/>
      <c r="CZ94" s="26"/>
    </row>
    <row r="95" ht="15.75" customHeight="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93">
        <f t="shared" si="13"/>
        <v>92</v>
      </c>
      <c r="BB95" s="31">
        <f t="shared" si="36"/>
        <v>1.232638889</v>
      </c>
      <c r="BC95" s="94">
        <f t="shared" si="14"/>
        <v>92</v>
      </c>
      <c r="BD95" s="31">
        <f t="shared" si="37"/>
        <v>1.232638889</v>
      </c>
      <c r="BE95" s="95">
        <f t="shared" si="15"/>
        <v>1.232638889</v>
      </c>
      <c r="BF95" s="93" t="str">
        <f t="shared" si="16"/>
        <v/>
      </c>
      <c r="BG95" s="31" t="str">
        <f t="shared" si="54"/>
        <v/>
      </c>
      <c r="BH95" s="95" t="str">
        <f t="shared" si="17"/>
        <v/>
      </c>
      <c r="BI95" s="93" t="str">
        <f t="shared" si="18"/>
        <v/>
      </c>
      <c r="BJ95" s="31" t="str">
        <f t="shared" si="38"/>
        <v/>
      </c>
      <c r="BK95" s="95" t="str">
        <f t="shared" si="19"/>
        <v/>
      </c>
      <c r="BL95" s="93" t="str">
        <f t="shared" si="20"/>
        <v/>
      </c>
      <c r="BM95" s="31" t="str">
        <f t="shared" si="39"/>
        <v/>
      </c>
      <c r="BN95" s="95" t="str">
        <f t="shared" si="21"/>
        <v/>
      </c>
      <c r="BO95" s="93">
        <f t="shared" si="22"/>
        <v>92</v>
      </c>
      <c r="BP95" s="31">
        <f t="shared" si="40"/>
        <v>1.232638889</v>
      </c>
      <c r="BQ95" s="93" t="str">
        <f t="shared" si="23"/>
        <v/>
      </c>
      <c r="BR95" s="31" t="str">
        <f t="shared" si="41"/>
        <v/>
      </c>
      <c r="BS95" s="93" t="str">
        <f t="shared" si="24"/>
        <v/>
      </c>
      <c r="BT95" s="31" t="str">
        <f t="shared" si="42"/>
        <v/>
      </c>
      <c r="BU95" s="93" t="str">
        <f t="shared" si="25"/>
        <v/>
      </c>
      <c r="BV95" s="31" t="str">
        <f t="shared" si="43"/>
        <v/>
      </c>
      <c r="BW95" s="93" t="str">
        <f t="shared" si="26"/>
        <v/>
      </c>
      <c r="BX95" s="31" t="str">
        <f t="shared" si="44"/>
        <v/>
      </c>
      <c r="BY95" s="93" t="str">
        <f t="shared" si="27"/>
        <v/>
      </c>
      <c r="BZ95" s="31" t="str">
        <f t="shared" si="45"/>
        <v/>
      </c>
      <c r="CA95" s="93" t="str">
        <f t="shared" si="28"/>
        <v/>
      </c>
      <c r="CB95" s="31" t="str">
        <f t="shared" si="46"/>
        <v/>
      </c>
      <c r="CC95" s="93" t="str">
        <f t="shared" si="29"/>
        <v/>
      </c>
      <c r="CD95" s="31" t="str">
        <f t="shared" si="47"/>
        <v/>
      </c>
      <c r="CE95" s="93">
        <f t="shared" si="30"/>
        <v>92</v>
      </c>
      <c r="CF95" s="31">
        <f t="shared" si="48"/>
        <v>1.232638889</v>
      </c>
      <c r="CG95" s="93">
        <f t="shared" si="31"/>
        <v>92</v>
      </c>
      <c r="CH95" s="31">
        <f t="shared" si="49"/>
        <v>1.232638889</v>
      </c>
      <c r="CI95" s="93" t="str">
        <f t="shared" si="32"/>
        <v/>
      </c>
      <c r="CJ95" s="31" t="str">
        <f t="shared" si="50"/>
        <v/>
      </c>
      <c r="CK95" s="93" t="str">
        <f t="shared" si="33"/>
        <v/>
      </c>
      <c r="CL95" s="31" t="str">
        <f t="shared" si="51"/>
        <v/>
      </c>
      <c r="CM95" s="93" t="str">
        <f t="shared" si="34"/>
        <v/>
      </c>
      <c r="CN95" s="31" t="str">
        <f t="shared" si="52"/>
        <v/>
      </c>
      <c r="CO95" s="93" t="str">
        <f t="shared" si="35"/>
        <v/>
      </c>
      <c r="CP95" s="31" t="str">
        <f t="shared" si="53"/>
        <v/>
      </c>
      <c r="CQ95" s="26"/>
      <c r="CR95" s="32"/>
      <c r="CS95" s="26"/>
      <c r="CT95" s="26"/>
      <c r="CU95" s="26"/>
      <c r="CV95" s="32"/>
      <c r="CW95" s="26"/>
      <c r="CX95" s="26"/>
      <c r="CY95" s="26"/>
      <c r="CZ95" s="26"/>
    </row>
    <row r="96" ht="15.75" customHeight="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93">
        <f t="shared" si="13"/>
        <v>93</v>
      </c>
      <c r="BB96" s="31">
        <f t="shared" si="36"/>
        <v>1.236111111</v>
      </c>
      <c r="BC96" s="94">
        <f t="shared" si="14"/>
        <v>93</v>
      </c>
      <c r="BD96" s="31">
        <f t="shared" si="37"/>
        <v>1.236111111</v>
      </c>
      <c r="BE96" s="95">
        <f t="shared" si="15"/>
        <v>1.236111111</v>
      </c>
      <c r="BF96" s="93" t="str">
        <f t="shared" si="16"/>
        <v/>
      </c>
      <c r="BG96" s="31" t="str">
        <f t="shared" si="54"/>
        <v/>
      </c>
      <c r="BH96" s="95" t="str">
        <f t="shared" si="17"/>
        <v/>
      </c>
      <c r="BI96" s="93" t="str">
        <f t="shared" si="18"/>
        <v/>
      </c>
      <c r="BJ96" s="31" t="str">
        <f t="shared" si="38"/>
        <v/>
      </c>
      <c r="BK96" s="95" t="str">
        <f t="shared" si="19"/>
        <v/>
      </c>
      <c r="BL96" s="93" t="str">
        <f t="shared" si="20"/>
        <v/>
      </c>
      <c r="BM96" s="31" t="str">
        <f t="shared" si="39"/>
        <v/>
      </c>
      <c r="BN96" s="95" t="str">
        <f t="shared" si="21"/>
        <v/>
      </c>
      <c r="BO96" s="93">
        <f t="shared" si="22"/>
        <v>93</v>
      </c>
      <c r="BP96" s="31">
        <f t="shared" si="40"/>
        <v>1.236111111</v>
      </c>
      <c r="BQ96" s="93" t="str">
        <f t="shared" si="23"/>
        <v/>
      </c>
      <c r="BR96" s="31" t="str">
        <f t="shared" si="41"/>
        <v/>
      </c>
      <c r="BS96" s="93" t="str">
        <f t="shared" si="24"/>
        <v/>
      </c>
      <c r="BT96" s="31" t="str">
        <f t="shared" si="42"/>
        <v/>
      </c>
      <c r="BU96" s="93" t="str">
        <f t="shared" si="25"/>
        <v/>
      </c>
      <c r="BV96" s="31" t="str">
        <f t="shared" si="43"/>
        <v/>
      </c>
      <c r="BW96" s="93" t="str">
        <f t="shared" si="26"/>
        <v/>
      </c>
      <c r="BX96" s="31" t="str">
        <f t="shared" si="44"/>
        <v/>
      </c>
      <c r="BY96" s="93" t="str">
        <f t="shared" si="27"/>
        <v/>
      </c>
      <c r="BZ96" s="31" t="str">
        <f t="shared" si="45"/>
        <v/>
      </c>
      <c r="CA96" s="93" t="str">
        <f t="shared" si="28"/>
        <v/>
      </c>
      <c r="CB96" s="31" t="str">
        <f t="shared" si="46"/>
        <v/>
      </c>
      <c r="CC96" s="93" t="str">
        <f t="shared" si="29"/>
        <v/>
      </c>
      <c r="CD96" s="31" t="str">
        <f t="shared" si="47"/>
        <v/>
      </c>
      <c r="CE96" s="93">
        <f t="shared" si="30"/>
        <v>93</v>
      </c>
      <c r="CF96" s="31">
        <f t="shared" si="48"/>
        <v>1.236111111</v>
      </c>
      <c r="CG96" s="93">
        <f t="shared" si="31"/>
        <v>93</v>
      </c>
      <c r="CH96" s="31">
        <f t="shared" si="49"/>
        <v>1.236111111</v>
      </c>
      <c r="CI96" s="93" t="str">
        <f t="shared" si="32"/>
        <v/>
      </c>
      <c r="CJ96" s="31" t="str">
        <f t="shared" si="50"/>
        <v/>
      </c>
      <c r="CK96" s="93" t="str">
        <f t="shared" si="33"/>
        <v/>
      </c>
      <c r="CL96" s="31" t="str">
        <f t="shared" si="51"/>
        <v/>
      </c>
      <c r="CM96" s="93" t="str">
        <f t="shared" si="34"/>
        <v/>
      </c>
      <c r="CN96" s="31" t="str">
        <f t="shared" si="52"/>
        <v/>
      </c>
      <c r="CO96" s="93" t="str">
        <f t="shared" si="35"/>
        <v/>
      </c>
      <c r="CP96" s="31" t="str">
        <f t="shared" si="53"/>
        <v/>
      </c>
      <c r="CQ96" s="26"/>
      <c r="CR96" s="32"/>
      <c r="CS96" s="26"/>
      <c r="CT96" s="26"/>
      <c r="CU96" s="26"/>
      <c r="CV96" s="32"/>
      <c r="CW96" s="26"/>
      <c r="CX96" s="26"/>
      <c r="CY96" s="26"/>
      <c r="CZ96" s="26"/>
    </row>
    <row r="97" ht="15.75" customHeight="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93">
        <f t="shared" si="13"/>
        <v>94</v>
      </c>
      <c r="BB97" s="31">
        <f t="shared" si="36"/>
        <v>1.239583333</v>
      </c>
      <c r="BC97" s="94">
        <f t="shared" si="14"/>
        <v>94</v>
      </c>
      <c r="BD97" s="31">
        <f t="shared" si="37"/>
        <v>1.239583333</v>
      </c>
      <c r="BE97" s="95">
        <f t="shared" si="15"/>
        <v>1.239583333</v>
      </c>
      <c r="BF97" s="93" t="str">
        <f t="shared" si="16"/>
        <v/>
      </c>
      <c r="BG97" s="31" t="str">
        <f t="shared" si="54"/>
        <v/>
      </c>
      <c r="BH97" s="95" t="str">
        <f t="shared" si="17"/>
        <v/>
      </c>
      <c r="BI97" s="93" t="str">
        <f t="shared" si="18"/>
        <v/>
      </c>
      <c r="BJ97" s="31" t="str">
        <f t="shared" si="38"/>
        <v/>
      </c>
      <c r="BK97" s="95" t="str">
        <f t="shared" si="19"/>
        <v/>
      </c>
      <c r="BL97" s="93" t="str">
        <f t="shared" si="20"/>
        <v/>
      </c>
      <c r="BM97" s="31" t="str">
        <f t="shared" si="39"/>
        <v/>
      </c>
      <c r="BN97" s="95" t="str">
        <f t="shared" si="21"/>
        <v/>
      </c>
      <c r="BO97" s="93">
        <f t="shared" si="22"/>
        <v>94</v>
      </c>
      <c r="BP97" s="31">
        <f t="shared" si="40"/>
        <v>1.239583333</v>
      </c>
      <c r="BQ97" s="93" t="str">
        <f t="shared" si="23"/>
        <v/>
      </c>
      <c r="BR97" s="31" t="str">
        <f t="shared" si="41"/>
        <v/>
      </c>
      <c r="BS97" s="93" t="str">
        <f t="shared" si="24"/>
        <v/>
      </c>
      <c r="BT97" s="31" t="str">
        <f t="shared" si="42"/>
        <v/>
      </c>
      <c r="BU97" s="93" t="str">
        <f t="shared" si="25"/>
        <v/>
      </c>
      <c r="BV97" s="31" t="str">
        <f t="shared" si="43"/>
        <v/>
      </c>
      <c r="BW97" s="93" t="str">
        <f t="shared" si="26"/>
        <v/>
      </c>
      <c r="BX97" s="31" t="str">
        <f t="shared" si="44"/>
        <v/>
      </c>
      <c r="BY97" s="93" t="str">
        <f t="shared" si="27"/>
        <v/>
      </c>
      <c r="BZ97" s="31" t="str">
        <f t="shared" si="45"/>
        <v/>
      </c>
      <c r="CA97" s="93" t="str">
        <f t="shared" si="28"/>
        <v/>
      </c>
      <c r="CB97" s="31" t="str">
        <f t="shared" si="46"/>
        <v/>
      </c>
      <c r="CC97" s="93" t="str">
        <f t="shared" si="29"/>
        <v/>
      </c>
      <c r="CD97" s="31" t="str">
        <f t="shared" si="47"/>
        <v/>
      </c>
      <c r="CE97" s="93">
        <f t="shared" si="30"/>
        <v>94</v>
      </c>
      <c r="CF97" s="31">
        <f t="shared" si="48"/>
        <v>1.239583333</v>
      </c>
      <c r="CG97" s="93">
        <f t="shared" si="31"/>
        <v>94</v>
      </c>
      <c r="CH97" s="31">
        <f t="shared" si="49"/>
        <v>1.239583333</v>
      </c>
      <c r="CI97" s="93" t="str">
        <f t="shared" si="32"/>
        <v/>
      </c>
      <c r="CJ97" s="31" t="str">
        <f t="shared" si="50"/>
        <v/>
      </c>
      <c r="CK97" s="93" t="str">
        <f t="shared" si="33"/>
        <v/>
      </c>
      <c r="CL97" s="31" t="str">
        <f t="shared" si="51"/>
        <v/>
      </c>
      <c r="CM97" s="93" t="str">
        <f t="shared" si="34"/>
        <v/>
      </c>
      <c r="CN97" s="31" t="str">
        <f t="shared" si="52"/>
        <v/>
      </c>
      <c r="CO97" s="93" t="str">
        <f t="shared" si="35"/>
        <v/>
      </c>
      <c r="CP97" s="31" t="str">
        <f t="shared" si="53"/>
        <v/>
      </c>
      <c r="CQ97" s="26"/>
      <c r="CR97" s="32"/>
      <c r="CS97" s="26"/>
      <c r="CT97" s="26"/>
      <c r="CU97" s="26"/>
      <c r="CV97" s="32"/>
      <c r="CW97" s="26"/>
      <c r="CX97" s="26"/>
      <c r="CY97" s="26"/>
      <c r="CZ97" s="26"/>
    </row>
    <row r="98" ht="15.75" customHeight="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93">
        <f t="shared" si="13"/>
        <v>95</v>
      </c>
      <c r="BB98" s="31">
        <f t="shared" si="36"/>
        <v>1.243055556</v>
      </c>
      <c r="BC98" s="94">
        <f t="shared" si="14"/>
        <v>95</v>
      </c>
      <c r="BD98" s="31">
        <f t="shared" si="37"/>
        <v>1.243055556</v>
      </c>
      <c r="BE98" s="95">
        <f t="shared" si="15"/>
        <v>1.243055556</v>
      </c>
      <c r="BF98" s="93" t="str">
        <f t="shared" si="16"/>
        <v/>
      </c>
      <c r="BG98" s="31" t="str">
        <f t="shared" si="54"/>
        <v/>
      </c>
      <c r="BH98" s="95" t="str">
        <f t="shared" si="17"/>
        <v/>
      </c>
      <c r="BI98" s="93" t="str">
        <f t="shared" si="18"/>
        <v/>
      </c>
      <c r="BJ98" s="31" t="str">
        <f t="shared" si="38"/>
        <v/>
      </c>
      <c r="BK98" s="95" t="str">
        <f t="shared" si="19"/>
        <v/>
      </c>
      <c r="BL98" s="93" t="str">
        <f t="shared" si="20"/>
        <v/>
      </c>
      <c r="BM98" s="31" t="str">
        <f t="shared" si="39"/>
        <v/>
      </c>
      <c r="BN98" s="95" t="str">
        <f t="shared" si="21"/>
        <v/>
      </c>
      <c r="BO98" s="93">
        <f t="shared" si="22"/>
        <v>95</v>
      </c>
      <c r="BP98" s="31">
        <f t="shared" si="40"/>
        <v>1.243055556</v>
      </c>
      <c r="BQ98" s="93" t="str">
        <f t="shared" si="23"/>
        <v/>
      </c>
      <c r="BR98" s="31" t="str">
        <f t="shared" si="41"/>
        <v/>
      </c>
      <c r="BS98" s="93" t="str">
        <f t="shared" si="24"/>
        <v/>
      </c>
      <c r="BT98" s="31" t="str">
        <f t="shared" si="42"/>
        <v/>
      </c>
      <c r="BU98" s="93" t="str">
        <f t="shared" si="25"/>
        <v/>
      </c>
      <c r="BV98" s="31" t="str">
        <f t="shared" si="43"/>
        <v/>
      </c>
      <c r="BW98" s="93" t="str">
        <f t="shared" si="26"/>
        <v/>
      </c>
      <c r="BX98" s="31" t="str">
        <f t="shared" si="44"/>
        <v/>
      </c>
      <c r="BY98" s="93" t="str">
        <f t="shared" si="27"/>
        <v/>
      </c>
      <c r="BZ98" s="31" t="str">
        <f t="shared" si="45"/>
        <v/>
      </c>
      <c r="CA98" s="93" t="str">
        <f t="shared" si="28"/>
        <v/>
      </c>
      <c r="CB98" s="31" t="str">
        <f t="shared" si="46"/>
        <v/>
      </c>
      <c r="CC98" s="93" t="str">
        <f t="shared" si="29"/>
        <v/>
      </c>
      <c r="CD98" s="31" t="str">
        <f t="shared" si="47"/>
        <v/>
      </c>
      <c r="CE98" s="93">
        <f t="shared" si="30"/>
        <v>95</v>
      </c>
      <c r="CF98" s="31">
        <f t="shared" si="48"/>
        <v>1.243055556</v>
      </c>
      <c r="CG98" s="93">
        <f t="shared" si="31"/>
        <v>95</v>
      </c>
      <c r="CH98" s="31">
        <f t="shared" si="49"/>
        <v>1.243055556</v>
      </c>
      <c r="CI98" s="93" t="str">
        <f t="shared" si="32"/>
        <v/>
      </c>
      <c r="CJ98" s="31" t="str">
        <f t="shared" si="50"/>
        <v/>
      </c>
      <c r="CK98" s="93" t="str">
        <f t="shared" si="33"/>
        <v/>
      </c>
      <c r="CL98" s="31" t="str">
        <f t="shared" si="51"/>
        <v/>
      </c>
      <c r="CM98" s="93" t="str">
        <f t="shared" si="34"/>
        <v/>
      </c>
      <c r="CN98" s="31" t="str">
        <f t="shared" si="52"/>
        <v/>
      </c>
      <c r="CO98" s="93" t="str">
        <f t="shared" si="35"/>
        <v/>
      </c>
      <c r="CP98" s="31" t="str">
        <f t="shared" si="53"/>
        <v/>
      </c>
      <c r="CQ98" s="26"/>
      <c r="CR98" s="32"/>
      <c r="CS98" s="26"/>
      <c r="CT98" s="26"/>
      <c r="CU98" s="26"/>
      <c r="CV98" s="32"/>
      <c r="CW98" s="26"/>
      <c r="CX98" s="26"/>
      <c r="CY98" s="26"/>
      <c r="CZ98" s="26"/>
    </row>
    <row r="99" ht="15.75" customHeight="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93">
        <f t="shared" si="13"/>
        <v>96</v>
      </c>
      <c r="BB99" s="31">
        <f t="shared" si="36"/>
        <v>1.246527778</v>
      </c>
      <c r="BC99" s="94">
        <f t="shared" si="14"/>
        <v>96</v>
      </c>
      <c r="BD99" s="31">
        <f t="shared" si="37"/>
        <v>1.246527778</v>
      </c>
      <c r="BE99" s="95">
        <f t="shared" si="15"/>
        <v>1.246527778</v>
      </c>
      <c r="BF99" s="93" t="str">
        <f t="shared" si="16"/>
        <v/>
      </c>
      <c r="BG99" s="31" t="str">
        <f t="shared" si="54"/>
        <v/>
      </c>
      <c r="BH99" s="95" t="str">
        <f t="shared" si="17"/>
        <v/>
      </c>
      <c r="BI99" s="93" t="str">
        <f t="shared" si="18"/>
        <v/>
      </c>
      <c r="BJ99" s="31" t="str">
        <f t="shared" si="38"/>
        <v/>
      </c>
      <c r="BK99" s="95" t="str">
        <f t="shared" si="19"/>
        <v/>
      </c>
      <c r="BL99" s="93" t="str">
        <f t="shared" si="20"/>
        <v/>
      </c>
      <c r="BM99" s="31" t="str">
        <f t="shared" si="39"/>
        <v/>
      </c>
      <c r="BN99" s="95" t="str">
        <f t="shared" si="21"/>
        <v/>
      </c>
      <c r="BO99" s="93">
        <f t="shared" si="22"/>
        <v>96</v>
      </c>
      <c r="BP99" s="31">
        <f t="shared" si="40"/>
        <v>1.246527778</v>
      </c>
      <c r="BQ99" s="93" t="str">
        <f t="shared" si="23"/>
        <v/>
      </c>
      <c r="BR99" s="31" t="str">
        <f t="shared" si="41"/>
        <v/>
      </c>
      <c r="BS99" s="93" t="str">
        <f t="shared" si="24"/>
        <v/>
      </c>
      <c r="BT99" s="31" t="str">
        <f t="shared" si="42"/>
        <v/>
      </c>
      <c r="BU99" s="93" t="str">
        <f t="shared" si="25"/>
        <v/>
      </c>
      <c r="BV99" s="31" t="str">
        <f t="shared" si="43"/>
        <v/>
      </c>
      <c r="BW99" s="93" t="str">
        <f t="shared" si="26"/>
        <v/>
      </c>
      <c r="BX99" s="31" t="str">
        <f t="shared" si="44"/>
        <v/>
      </c>
      <c r="BY99" s="93" t="str">
        <f t="shared" si="27"/>
        <v/>
      </c>
      <c r="BZ99" s="31" t="str">
        <f t="shared" si="45"/>
        <v/>
      </c>
      <c r="CA99" s="93" t="str">
        <f t="shared" si="28"/>
        <v/>
      </c>
      <c r="CB99" s="31" t="str">
        <f t="shared" si="46"/>
        <v/>
      </c>
      <c r="CC99" s="93" t="str">
        <f t="shared" si="29"/>
        <v/>
      </c>
      <c r="CD99" s="31" t="str">
        <f t="shared" si="47"/>
        <v/>
      </c>
      <c r="CE99" s="93">
        <f t="shared" si="30"/>
        <v>96</v>
      </c>
      <c r="CF99" s="31">
        <f t="shared" si="48"/>
        <v>1.246527778</v>
      </c>
      <c r="CG99" s="93">
        <f t="shared" si="31"/>
        <v>96</v>
      </c>
      <c r="CH99" s="31">
        <f t="shared" si="49"/>
        <v>1.246527778</v>
      </c>
      <c r="CI99" s="93" t="str">
        <f t="shared" si="32"/>
        <v/>
      </c>
      <c r="CJ99" s="31" t="str">
        <f t="shared" si="50"/>
        <v/>
      </c>
      <c r="CK99" s="93" t="str">
        <f t="shared" si="33"/>
        <v/>
      </c>
      <c r="CL99" s="31" t="str">
        <f t="shared" si="51"/>
        <v/>
      </c>
      <c r="CM99" s="93" t="str">
        <f t="shared" si="34"/>
        <v/>
      </c>
      <c r="CN99" s="31" t="str">
        <f t="shared" si="52"/>
        <v/>
      </c>
      <c r="CO99" s="93" t="str">
        <f t="shared" si="35"/>
        <v/>
      </c>
      <c r="CP99" s="31" t="str">
        <f t="shared" si="53"/>
        <v/>
      </c>
      <c r="CQ99" s="26"/>
      <c r="CR99" s="32"/>
      <c r="CS99" s="26"/>
      <c r="CT99" s="26"/>
      <c r="CU99" s="26"/>
      <c r="CV99" s="32"/>
      <c r="CW99" s="26"/>
      <c r="CX99" s="26"/>
      <c r="CY99" s="26"/>
      <c r="CZ99" s="26"/>
    </row>
    <row r="100" ht="15.75" customHeight="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93">
        <f t="shared" si="13"/>
        <v>97</v>
      </c>
      <c r="BB100" s="31">
        <f t="shared" si="36"/>
        <v>1.25</v>
      </c>
      <c r="BC100" s="93" t="str">
        <f t="shared" si="14"/>
        <v/>
      </c>
      <c r="BD100" s="31" t="str">
        <f t="shared" si="37"/>
        <v/>
      </c>
      <c r="BE100" s="95" t="str">
        <f t="shared" si="15"/>
        <v/>
      </c>
      <c r="BF100" s="93" t="str">
        <f t="shared" si="16"/>
        <v/>
      </c>
      <c r="BG100" s="31" t="str">
        <f t="shared" si="54"/>
        <v/>
      </c>
      <c r="BH100" s="95" t="str">
        <f t="shared" si="17"/>
        <v/>
      </c>
      <c r="BI100" s="93" t="str">
        <f t="shared" si="18"/>
        <v/>
      </c>
      <c r="BJ100" s="31" t="str">
        <f t="shared" si="38"/>
        <v/>
      </c>
      <c r="BK100" s="95" t="str">
        <f t="shared" si="19"/>
        <v/>
      </c>
      <c r="BL100" s="93" t="str">
        <f t="shared" si="20"/>
        <v/>
      </c>
      <c r="BM100" s="31" t="str">
        <f t="shared" si="39"/>
        <v/>
      </c>
      <c r="BN100" s="95" t="str">
        <f t="shared" si="21"/>
        <v/>
      </c>
      <c r="BO100" s="93" t="str">
        <f t="shared" si="22"/>
        <v/>
      </c>
      <c r="BP100" s="31" t="str">
        <f t="shared" si="40"/>
        <v/>
      </c>
      <c r="BQ100" s="93" t="str">
        <f t="shared" si="23"/>
        <v/>
      </c>
      <c r="BR100" s="31" t="str">
        <f t="shared" si="41"/>
        <v/>
      </c>
      <c r="BS100" s="93" t="str">
        <f t="shared" si="24"/>
        <v/>
      </c>
      <c r="BT100" s="31" t="str">
        <f t="shared" si="42"/>
        <v/>
      </c>
      <c r="BU100" s="93" t="str">
        <f t="shared" si="25"/>
        <v/>
      </c>
      <c r="BV100" s="31" t="str">
        <f t="shared" si="43"/>
        <v/>
      </c>
      <c r="BW100" s="93" t="str">
        <f t="shared" si="26"/>
        <v/>
      </c>
      <c r="BX100" s="31" t="str">
        <f t="shared" si="44"/>
        <v/>
      </c>
      <c r="BY100" s="93" t="str">
        <f t="shared" si="27"/>
        <v/>
      </c>
      <c r="BZ100" s="31" t="str">
        <f t="shared" si="45"/>
        <v/>
      </c>
      <c r="CA100" s="93" t="str">
        <f t="shared" si="28"/>
        <v/>
      </c>
      <c r="CB100" s="31" t="str">
        <f t="shared" si="46"/>
        <v/>
      </c>
      <c r="CC100" s="93" t="str">
        <f t="shared" si="29"/>
        <v/>
      </c>
      <c r="CD100" s="31" t="str">
        <f t="shared" si="47"/>
        <v/>
      </c>
      <c r="CE100" s="93" t="str">
        <f t="shared" si="30"/>
        <v/>
      </c>
      <c r="CF100" s="31" t="str">
        <f t="shared" si="48"/>
        <v/>
      </c>
      <c r="CG100" s="93" t="str">
        <f t="shared" si="31"/>
        <v/>
      </c>
      <c r="CH100" s="31" t="str">
        <f t="shared" si="49"/>
        <v/>
      </c>
      <c r="CI100" s="93" t="str">
        <f t="shared" si="32"/>
        <v/>
      </c>
      <c r="CJ100" s="31" t="str">
        <f t="shared" si="50"/>
        <v/>
      </c>
      <c r="CK100" s="93" t="str">
        <f t="shared" si="33"/>
        <v/>
      </c>
      <c r="CL100" s="31" t="str">
        <f t="shared" si="51"/>
        <v/>
      </c>
      <c r="CM100" s="93" t="str">
        <f t="shared" si="34"/>
        <v/>
      </c>
      <c r="CN100" s="31" t="str">
        <f t="shared" si="52"/>
        <v/>
      </c>
      <c r="CO100" s="93" t="str">
        <f t="shared" si="35"/>
        <v/>
      </c>
      <c r="CP100" s="31" t="str">
        <f t="shared" si="53"/>
        <v/>
      </c>
      <c r="CQ100" s="26"/>
      <c r="CR100" s="32"/>
      <c r="CS100" s="26"/>
      <c r="CT100" s="26"/>
      <c r="CU100" s="26"/>
      <c r="CV100" s="32"/>
      <c r="CW100" s="26"/>
      <c r="CX100" s="26"/>
      <c r="CY100" s="26"/>
      <c r="CZ100" s="26"/>
    </row>
    <row r="101" ht="15.75" customHeight="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31"/>
      <c r="BC101" s="31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32"/>
      <c r="CS101" s="26"/>
      <c r="CT101" s="26"/>
      <c r="CU101" s="26"/>
      <c r="CV101" s="32"/>
      <c r="CW101" s="26"/>
      <c r="CX101" s="26"/>
      <c r="CY101" s="26"/>
      <c r="CZ101" s="26"/>
    </row>
    <row r="102" ht="15.75" customHeight="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31"/>
      <c r="BC102" s="31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32"/>
      <c r="CS102" s="26"/>
      <c r="CT102" s="26"/>
      <c r="CU102" s="26"/>
      <c r="CV102" s="32"/>
      <c r="CW102" s="26"/>
      <c r="CX102" s="26"/>
      <c r="CY102" s="26"/>
      <c r="CZ102" s="26"/>
    </row>
    <row r="103" ht="15.75" customHeight="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31"/>
      <c r="BC103" s="31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32"/>
      <c r="CS103" s="26"/>
      <c r="CT103" s="26"/>
      <c r="CU103" s="26"/>
      <c r="CV103" s="32"/>
      <c r="CW103" s="26"/>
      <c r="CX103" s="26"/>
      <c r="CY103" s="26"/>
      <c r="CZ103" s="26"/>
    </row>
    <row r="104" ht="15.75" customHeight="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31"/>
      <c r="BC104" s="31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32"/>
      <c r="CS104" s="26"/>
      <c r="CT104" s="26"/>
      <c r="CU104" s="26"/>
      <c r="CV104" s="32"/>
      <c r="CW104" s="26"/>
      <c r="CX104" s="26"/>
      <c r="CY104" s="26"/>
      <c r="CZ104" s="26"/>
    </row>
    <row r="105" ht="15.75" customHeight="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31"/>
      <c r="BC105" s="31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32"/>
      <c r="CS105" s="26"/>
      <c r="CT105" s="26"/>
      <c r="CU105" s="26"/>
      <c r="CV105" s="32"/>
      <c r="CW105" s="26"/>
      <c r="CX105" s="26"/>
      <c r="CY105" s="26"/>
      <c r="CZ105" s="26"/>
    </row>
    <row r="106" ht="15.75" customHeight="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31"/>
      <c r="BC106" s="31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32"/>
      <c r="CS106" s="26"/>
      <c r="CT106" s="26"/>
      <c r="CU106" s="26"/>
      <c r="CV106" s="32"/>
      <c r="CW106" s="26"/>
      <c r="CX106" s="26"/>
      <c r="CY106" s="26"/>
      <c r="CZ106" s="26"/>
    </row>
    <row r="107" ht="15.75" customHeight="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31"/>
      <c r="BC107" s="31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32"/>
      <c r="CS107" s="26"/>
      <c r="CT107" s="26"/>
      <c r="CU107" s="26"/>
      <c r="CV107" s="32"/>
      <c r="CW107" s="26"/>
      <c r="CX107" s="26"/>
      <c r="CY107" s="26"/>
      <c r="CZ107" s="26"/>
    </row>
    <row r="108" ht="15.75" customHeight="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31"/>
      <c r="BC108" s="31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32"/>
      <c r="CS108" s="26"/>
      <c r="CT108" s="26"/>
      <c r="CU108" s="26"/>
      <c r="CV108" s="32"/>
      <c r="CW108" s="26"/>
      <c r="CX108" s="26"/>
      <c r="CY108" s="26"/>
      <c r="CZ108" s="26"/>
    </row>
    <row r="109" ht="15.75" customHeight="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31"/>
      <c r="BC109" s="31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32"/>
      <c r="CS109" s="26"/>
      <c r="CT109" s="26"/>
      <c r="CU109" s="26"/>
      <c r="CV109" s="32"/>
      <c r="CW109" s="26"/>
      <c r="CX109" s="26"/>
      <c r="CY109" s="26"/>
      <c r="CZ109" s="26"/>
    </row>
    <row r="110" ht="15.75" customHeight="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31"/>
      <c r="BC110" s="31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32"/>
      <c r="CS110" s="26"/>
      <c r="CT110" s="26"/>
      <c r="CU110" s="26"/>
      <c r="CV110" s="32"/>
      <c r="CW110" s="26"/>
      <c r="CX110" s="26"/>
      <c r="CY110" s="26"/>
      <c r="CZ110" s="26"/>
    </row>
    <row r="111" ht="15.75" customHeight="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31"/>
      <c r="BC111" s="31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32"/>
      <c r="CS111" s="26"/>
      <c r="CT111" s="26"/>
      <c r="CU111" s="26"/>
      <c r="CV111" s="32"/>
      <c r="CW111" s="26"/>
      <c r="CX111" s="26"/>
      <c r="CY111" s="26"/>
      <c r="CZ111" s="26"/>
    </row>
    <row r="112" ht="15.75" customHeight="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31"/>
      <c r="BC112" s="31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32"/>
      <c r="CS112" s="26"/>
      <c r="CT112" s="26"/>
      <c r="CU112" s="26"/>
      <c r="CV112" s="32"/>
      <c r="CW112" s="26"/>
      <c r="CX112" s="26"/>
      <c r="CY112" s="26"/>
      <c r="CZ112" s="26"/>
    </row>
    <row r="113" ht="15.75" customHeight="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31"/>
      <c r="BC113" s="31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32"/>
      <c r="CS113" s="26"/>
      <c r="CT113" s="26"/>
      <c r="CU113" s="26"/>
      <c r="CV113" s="32"/>
      <c r="CW113" s="26"/>
      <c r="CX113" s="26"/>
      <c r="CY113" s="26"/>
      <c r="CZ113" s="26"/>
    </row>
    <row r="114" ht="15.75" customHeight="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31"/>
      <c r="BC114" s="31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32"/>
      <c r="CS114" s="26"/>
      <c r="CT114" s="26"/>
      <c r="CU114" s="26"/>
      <c r="CV114" s="32"/>
      <c r="CW114" s="26"/>
      <c r="CX114" s="26"/>
      <c r="CY114" s="26"/>
      <c r="CZ114" s="26"/>
    </row>
    <row r="115" ht="15.75" customHeight="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31"/>
      <c r="BC115" s="31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32"/>
      <c r="CS115" s="26"/>
      <c r="CT115" s="26"/>
      <c r="CU115" s="26"/>
      <c r="CV115" s="32"/>
      <c r="CW115" s="26"/>
      <c r="CX115" s="26"/>
      <c r="CY115" s="26"/>
      <c r="CZ115" s="26"/>
    </row>
    <row r="116" ht="15.75" customHeight="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31"/>
      <c r="BC116" s="31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32"/>
      <c r="CS116" s="26"/>
      <c r="CT116" s="26"/>
      <c r="CU116" s="26"/>
      <c r="CV116" s="32"/>
      <c r="CW116" s="26"/>
      <c r="CX116" s="26"/>
      <c r="CY116" s="26"/>
      <c r="CZ116" s="26"/>
    </row>
    <row r="117" ht="15.75" customHeight="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31"/>
      <c r="BC117" s="31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32"/>
      <c r="CS117" s="26"/>
      <c r="CT117" s="26"/>
      <c r="CU117" s="26"/>
      <c r="CV117" s="32"/>
      <c r="CW117" s="26"/>
      <c r="CX117" s="26"/>
      <c r="CY117" s="26"/>
      <c r="CZ117" s="26"/>
    </row>
    <row r="118" ht="15.75" customHeight="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31"/>
      <c r="BC118" s="31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32"/>
      <c r="CS118" s="26"/>
      <c r="CT118" s="26"/>
      <c r="CU118" s="26"/>
      <c r="CV118" s="32"/>
      <c r="CW118" s="26"/>
      <c r="CX118" s="26"/>
      <c r="CY118" s="26"/>
      <c r="CZ118" s="26"/>
    </row>
    <row r="119" ht="15.75" customHeight="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31"/>
      <c r="BC119" s="31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32"/>
      <c r="CS119" s="26"/>
      <c r="CT119" s="26"/>
      <c r="CU119" s="26"/>
      <c r="CV119" s="32"/>
      <c r="CW119" s="26"/>
      <c r="CX119" s="26"/>
      <c r="CY119" s="26"/>
      <c r="CZ119" s="26"/>
    </row>
    <row r="120" ht="15.75" customHeight="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31"/>
      <c r="BC120" s="31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32"/>
      <c r="CS120" s="26"/>
      <c r="CT120" s="26"/>
      <c r="CU120" s="26"/>
      <c r="CV120" s="32"/>
      <c r="CW120" s="26"/>
      <c r="CX120" s="26"/>
      <c r="CY120" s="26"/>
      <c r="CZ120" s="26"/>
    </row>
    <row r="121" ht="15.75" customHeight="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31"/>
      <c r="BC121" s="31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32"/>
      <c r="CS121" s="26"/>
      <c r="CT121" s="26"/>
      <c r="CU121" s="26"/>
      <c r="CV121" s="32"/>
      <c r="CW121" s="26"/>
      <c r="CX121" s="26"/>
      <c r="CY121" s="26"/>
      <c r="CZ121" s="26"/>
    </row>
    <row r="122" ht="15.75" customHeight="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31"/>
      <c r="BC122" s="31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32"/>
      <c r="CS122" s="26"/>
      <c r="CT122" s="26"/>
      <c r="CU122" s="26"/>
      <c r="CV122" s="32"/>
      <c r="CW122" s="26"/>
      <c r="CX122" s="26"/>
      <c r="CY122" s="26"/>
      <c r="CZ122" s="26"/>
    </row>
    <row r="123" ht="15.75" customHeight="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31"/>
      <c r="BC123" s="31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32"/>
      <c r="CS123" s="26"/>
      <c r="CT123" s="26"/>
      <c r="CU123" s="26"/>
      <c r="CV123" s="32"/>
      <c r="CW123" s="26"/>
      <c r="CX123" s="26"/>
      <c r="CY123" s="26"/>
      <c r="CZ123" s="26"/>
    </row>
    <row r="124" ht="15.75" customHeight="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31"/>
      <c r="BC124" s="31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32"/>
      <c r="CS124" s="26"/>
      <c r="CT124" s="26"/>
      <c r="CU124" s="26"/>
      <c r="CV124" s="32"/>
      <c r="CW124" s="26"/>
      <c r="CX124" s="26"/>
      <c r="CY124" s="26"/>
      <c r="CZ124" s="26"/>
    </row>
    <row r="125" ht="15.75" customHeight="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31"/>
      <c r="BC125" s="31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32"/>
      <c r="CS125" s="26"/>
      <c r="CT125" s="26"/>
      <c r="CU125" s="26"/>
      <c r="CV125" s="32"/>
      <c r="CW125" s="26"/>
      <c r="CX125" s="26"/>
      <c r="CY125" s="26"/>
      <c r="CZ125" s="26"/>
    </row>
    <row r="126" ht="15.75" customHeight="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31"/>
      <c r="BC126" s="31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32"/>
      <c r="CS126" s="26"/>
      <c r="CT126" s="26"/>
      <c r="CU126" s="26"/>
      <c r="CV126" s="32"/>
      <c r="CW126" s="26"/>
      <c r="CX126" s="26"/>
      <c r="CY126" s="26"/>
      <c r="CZ126" s="26"/>
    </row>
    <row r="127" ht="15.75" customHeight="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31"/>
      <c r="BC127" s="31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32"/>
      <c r="CS127" s="26"/>
      <c r="CT127" s="26"/>
      <c r="CU127" s="26"/>
      <c r="CV127" s="32"/>
      <c r="CW127" s="26"/>
      <c r="CX127" s="26"/>
      <c r="CY127" s="26"/>
      <c r="CZ127" s="26"/>
    </row>
    <row r="128" ht="15.75" customHeight="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31"/>
      <c r="BC128" s="31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32"/>
      <c r="CS128" s="26"/>
      <c r="CT128" s="26"/>
      <c r="CU128" s="26"/>
      <c r="CV128" s="32"/>
      <c r="CW128" s="26"/>
      <c r="CX128" s="26"/>
      <c r="CY128" s="26"/>
      <c r="CZ128" s="26"/>
    </row>
    <row r="129" ht="15.75" customHeight="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31"/>
      <c r="BC129" s="31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32"/>
      <c r="CS129" s="26"/>
      <c r="CT129" s="26"/>
      <c r="CU129" s="26"/>
      <c r="CV129" s="32"/>
      <c r="CW129" s="26"/>
      <c r="CX129" s="26"/>
      <c r="CY129" s="26"/>
      <c r="CZ129" s="26"/>
    </row>
    <row r="130" ht="15.75" customHeight="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31"/>
      <c r="BC130" s="31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32"/>
      <c r="CS130" s="26"/>
      <c r="CT130" s="26"/>
      <c r="CU130" s="26"/>
      <c r="CV130" s="32"/>
      <c r="CW130" s="26"/>
      <c r="CX130" s="26"/>
      <c r="CY130" s="26"/>
      <c r="CZ130" s="26"/>
    </row>
    <row r="131" ht="15.75" customHeight="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31"/>
      <c r="BC131" s="31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32"/>
      <c r="CS131" s="26"/>
      <c r="CT131" s="26"/>
      <c r="CU131" s="26"/>
      <c r="CV131" s="32"/>
      <c r="CW131" s="26"/>
      <c r="CX131" s="26"/>
      <c r="CY131" s="26"/>
      <c r="CZ131" s="26"/>
    </row>
    <row r="132" ht="15.75" customHeight="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31"/>
      <c r="BC132" s="31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32"/>
      <c r="CS132" s="26"/>
      <c r="CT132" s="26"/>
      <c r="CU132" s="26"/>
      <c r="CV132" s="32"/>
      <c r="CW132" s="26"/>
      <c r="CX132" s="26"/>
      <c r="CY132" s="26"/>
      <c r="CZ132" s="26"/>
    </row>
    <row r="133" ht="15.75" customHeight="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31"/>
      <c r="BC133" s="31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32"/>
      <c r="CS133" s="26"/>
      <c r="CT133" s="26"/>
      <c r="CU133" s="26"/>
      <c r="CV133" s="32"/>
      <c r="CW133" s="26"/>
      <c r="CX133" s="26"/>
      <c r="CY133" s="26"/>
      <c r="CZ133" s="26"/>
    </row>
    <row r="134" ht="15.75" customHeight="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31"/>
      <c r="BC134" s="31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32"/>
      <c r="CS134" s="26"/>
      <c r="CT134" s="26"/>
      <c r="CU134" s="26"/>
      <c r="CV134" s="32"/>
      <c r="CW134" s="26"/>
      <c r="CX134" s="26"/>
      <c r="CY134" s="26"/>
      <c r="CZ134" s="26"/>
    </row>
    <row r="135" ht="15.75" customHeight="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31"/>
      <c r="BC135" s="31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32"/>
      <c r="CS135" s="26"/>
      <c r="CT135" s="26"/>
      <c r="CU135" s="26"/>
      <c r="CV135" s="32"/>
      <c r="CW135" s="26"/>
      <c r="CX135" s="26"/>
      <c r="CY135" s="26"/>
      <c r="CZ135" s="26"/>
    </row>
    <row r="136" ht="15.75" customHeight="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31"/>
      <c r="BC136" s="31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32"/>
      <c r="CS136" s="26"/>
      <c r="CT136" s="26"/>
      <c r="CU136" s="26"/>
      <c r="CV136" s="32"/>
      <c r="CW136" s="26"/>
      <c r="CX136" s="26"/>
      <c r="CY136" s="26"/>
      <c r="CZ136" s="26"/>
    </row>
    <row r="137" ht="15.75" customHeight="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31"/>
      <c r="BC137" s="31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32"/>
      <c r="CS137" s="26"/>
      <c r="CT137" s="26"/>
      <c r="CU137" s="26"/>
      <c r="CV137" s="32"/>
      <c r="CW137" s="26"/>
      <c r="CX137" s="26"/>
      <c r="CY137" s="26"/>
      <c r="CZ137" s="26"/>
    </row>
    <row r="138" ht="15.75" customHeight="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31"/>
      <c r="BC138" s="31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32"/>
      <c r="CS138" s="26"/>
      <c r="CT138" s="26"/>
      <c r="CU138" s="26"/>
      <c r="CV138" s="32"/>
      <c r="CW138" s="26"/>
      <c r="CX138" s="26"/>
      <c r="CY138" s="26"/>
      <c r="CZ138" s="26"/>
    </row>
    <row r="139" ht="15.75" customHeight="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31"/>
      <c r="BC139" s="31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32"/>
      <c r="CS139" s="26"/>
      <c r="CT139" s="26"/>
      <c r="CU139" s="26"/>
      <c r="CV139" s="32"/>
      <c r="CW139" s="26"/>
      <c r="CX139" s="26"/>
      <c r="CY139" s="26"/>
      <c r="CZ139" s="26"/>
    </row>
    <row r="140" ht="15.75" customHeight="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31"/>
      <c r="BC140" s="31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32"/>
      <c r="CS140" s="26"/>
      <c r="CT140" s="26"/>
      <c r="CU140" s="26"/>
      <c r="CV140" s="32"/>
      <c r="CW140" s="26"/>
      <c r="CX140" s="26"/>
      <c r="CY140" s="26"/>
      <c r="CZ140" s="26"/>
    </row>
    <row r="141" ht="15.75" customHeight="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31"/>
      <c r="BC141" s="31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32"/>
      <c r="CS141" s="26"/>
      <c r="CT141" s="26"/>
      <c r="CU141" s="26"/>
      <c r="CV141" s="32"/>
      <c r="CW141" s="26"/>
      <c r="CX141" s="26"/>
      <c r="CY141" s="26"/>
      <c r="CZ141" s="26"/>
    </row>
    <row r="142" ht="15.75" customHeight="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31"/>
      <c r="BC142" s="31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32"/>
      <c r="CS142" s="26"/>
      <c r="CT142" s="26"/>
      <c r="CU142" s="26"/>
      <c r="CV142" s="32"/>
      <c r="CW142" s="26"/>
      <c r="CX142" s="26"/>
      <c r="CY142" s="26"/>
      <c r="CZ142" s="26"/>
    </row>
    <row r="143" ht="15.75" customHeight="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31"/>
      <c r="BC143" s="31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32"/>
      <c r="CS143" s="26"/>
      <c r="CT143" s="26"/>
      <c r="CU143" s="26"/>
      <c r="CV143" s="32"/>
      <c r="CW143" s="26"/>
      <c r="CX143" s="26"/>
      <c r="CY143" s="26"/>
      <c r="CZ143" s="26"/>
    </row>
    <row r="144" ht="15.75" customHeight="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31"/>
      <c r="BC144" s="31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32"/>
      <c r="CS144" s="26"/>
      <c r="CT144" s="26"/>
      <c r="CU144" s="26"/>
      <c r="CV144" s="32"/>
      <c r="CW144" s="26"/>
      <c r="CX144" s="26"/>
      <c r="CY144" s="26"/>
      <c r="CZ144" s="26"/>
    </row>
    <row r="145" ht="15.75" customHeight="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31"/>
      <c r="BC145" s="31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32"/>
      <c r="CS145" s="26"/>
      <c r="CT145" s="26"/>
      <c r="CU145" s="26"/>
      <c r="CV145" s="32"/>
      <c r="CW145" s="26"/>
      <c r="CX145" s="26"/>
      <c r="CY145" s="26"/>
      <c r="CZ145" s="26"/>
    </row>
    <row r="146" ht="15.75" customHeight="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31"/>
      <c r="BC146" s="31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32"/>
      <c r="CS146" s="26"/>
      <c r="CT146" s="26"/>
      <c r="CU146" s="26"/>
      <c r="CV146" s="32"/>
      <c r="CW146" s="26"/>
      <c r="CX146" s="26"/>
      <c r="CY146" s="26"/>
      <c r="CZ146" s="26"/>
    </row>
    <row r="147" ht="15.75" customHeight="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31"/>
      <c r="BC147" s="31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32"/>
      <c r="CS147" s="26"/>
      <c r="CT147" s="26"/>
      <c r="CU147" s="26"/>
      <c r="CV147" s="32"/>
      <c r="CW147" s="26"/>
      <c r="CX147" s="26"/>
      <c r="CY147" s="26"/>
      <c r="CZ147" s="26"/>
    </row>
    <row r="148" ht="15.75" customHeight="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31"/>
      <c r="BC148" s="31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32"/>
      <c r="CS148" s="26"/>
      <c r="CT148" s="26"/>
      <c r="CU148" s="26"/>
      <c r="CV148" s="32"/>
      <c r="CW148" s="26"/>
      <c r="CX148" s="26"/>
      <c r="CY148" s="26"/>
      <c r="CZ148" s="26"/>
    </row>
    <row r="149" ht="15.75" customHeight="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31"/>
      <c r="BC149" s="31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32"/>
      <c r="CS149" s="26"/>
      <c r="CT149" s="26"/>
      <c r="CU149" s="26"/>
      <c r="CV149" s="32"/>
      <c r="CW149" s="26"/>
      <c r="CX149" s="26"/>
      <c r="CY149" s="26"/>
      <c r="CZ149" s="26"/>
    </row>
    <row r="150" ht="15.75" customHeight="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31"/>
      <c r="BC150" s="31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32"/>
      <c r="CS150" s="26"/>
      <c r="CT150" s="26"/>
      <c r="CU150" s="26"/>
      <c r="CV150" s="32"/>
      <c r="CW150" s="26"/>
      <c r="CX150" s="26"/>
      <c r="CY150" s="26"/>
      <c r="CZ150" s="26"/>
    </row>
    <row r="151" ht="15.75" customHeight="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31"/>
      <c r="BC151" s="31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32"/>
      <c r="CS151" s="26"/>
      <c r="CT151" s="26"/>
      <c r="CU151" s="26"/>
      <c r="CV151" s="32"/>
      <c r="CW151" s="26"/>
      <c r="CX151" s="26"/>
      <c r="CY151" s="26"/>
      <c r="CZ151" s="26"/>
    </row>
    <row r="152" ht="15.75" customHeight="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31"/>
      <c r="BC152" s="31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32"/>
      <c r="CS152" s="26"/>
      <c r="CT152" s="26"/>
      <c r="CU152" s="26"/>
      <c r="CV152" s="32"/>
      <c r="CW152" s="26"/>
      <c r="CX152" s="26"/>
      <c r="CY152" s="26"/>
      <c r="CZ152" s="26"/>
    </row>
    <row r="153" ht="15.75" customHeight="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31"/>
      <c r="BC153" s="31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32"/>
      <c r="CS153" s="26"/>
      <c r="CT153" s="26"/>
      <c r="CU153" s="26"/>
      <c r="CV153" s="32"/>
      <c r="CW153" s="26"/>
      <c r="CX153" s="26"/>
      <c r="CY153" s="26"/>
      <c r="CZ153" s="26"/>
    </row>
    <row r="154" ht="15.75" customHeight="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31"/>
      <c r="BC154" s="31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32"/>
      <c r="CS154" s="26"/>
      <c r="CT154" s="26"/>
      <c r="CU154" s="26"/>
      <c r="CV154" s="32"/>
      <c r="CW154" s="26"/>
      <c r="CX154" s="26"/>
      <c r="CY154" s="26"/>
      <c r="CZ154" s="26"/>
    </row>
    <row r="155" ht="15.75" customHeight="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31"/>
      <c r="BC155" s="31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32"/>
      <c r="CS155" s="26"/>
      <c r="CT155" s="26"/>
      <c r="CU155" s="26"/>
      <c r="CV155" s="32"/>
      <c r="CW155" s="26"/>
      <c r="CX155" s="26"/>
      <c r="CY155" s="26"/>
      <c r="CZ155" s="26"/>
    </row>
    <row r="156" ht="15.75" customHeight="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31"/>
      <c r="BC156" s="31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32"/>
      <c r="CS156" s="26"/>
      <c r="CT156" s="26"/>
      <c r="CU156" s="26"/>
      <c r="CV156" s="32"/>
      <c r="CW156" s="26"/>
      <c r="CX156" s="26"/>
      <c r="CY156" s="26"/>
      <c r="CZ156" s="26"/>
    </row>
    <row r="157" ht="15.75" customHeight="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31"/>
      <c r="BC157" s="31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32"/>
      <c r="CS157" s="26"/>
      <c r="CT157" s="26"/>
      <c r="CU157" s="26"/>
      <c r="CV157" s="32"/>
      <c r="CW157" s="26"/>
      <c r="CX157" s="26"/>
      <c r="CY157" s="26"/>
      <c r="CZ157" s="26"/>
    </row>
    <row r="158" ht="15.75" customHeight="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31"/>
      <c r="BC158" s="31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32"/>
      <c r="CS158" s="26"/>
      <c r="CT158" s="26"/>
      <c r="CU158" s="26"/>
      <c r="CV158" s="32"/>
      <c r="CW158" s="26"/>
      <c r="CX158" s="26"/>
      <c r="CY158" s="26"/>
      <c r="CZ158" s="26"/>
    </row>
    <row r="159" ht="15.75" customHeight="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31"/>
      <c r="BC159" s="31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32"/>
      <c r="CS159" s="26"/>
      <c r="CT159" s="26"/>
      <c r="CU159" s="26"/>
      <c r="CV159" s="32"/>
      <c r="CW159" s="26"/>
      <c r="CX159" s="26"/>
      <c r="CY159" s="26"/>
      <c r="CZ159" s="26"/>
    </row>
    <row r="160" ht="15.75" customHeight="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31"/>
      <c r="BC160" s="31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32"/>
      <c r="CS160" s="26"/>
      <c r="CT160" s="26"/>
      <c r="CU160" s="26"/>
      <c r="CV160" s="32"/>
      <c r="CW160" s="26"/>
      <c r="CX160" s="26"/>
      <c r="CY160" s="26"/>
      <c r="CZ160" s="26"/>
    </row>
    <row r="161" ht="15.75" customHeight="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31"/>
      <c r="BC161" s="31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32"/>
      <c r="CS161" s="26"/>
      <c r="CT161" s="26"/>
      <c r="CU161" s="26"/>
      <c r="CV161" s="32"/>
      <c r="CW161" s="26"/>
      <c r="CX161" s="26"/>
      <c r="CY161" s="26"/>
      <c r="CZ161" s="26"/>
    </row>
    <row r="162" ht="15.75" customHeight="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31"/>
      <c r="BC162" s="31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32"/>
      <c r="CS162" s="26"/>
      <c r="CT162" s="26"/>
      <c r="CU162" s="26"/>
      <c r="CV162" s="32"/>
      <c r="CW162" s="26"/>
      <c r="CX162" s="26"/>
      <c r="CY162" s="26"/>
      <c r="CZ162" s="26"/>
    </row>
    <row r="163" ht="15.75" customHeight="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31"/>
      <c r="BC163" s="31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32"/>
      <c r="CS163" s="26"/>
      <c r="CT163" s="26"/>
      <c r="CU163" s="26"/>
      <c r="CV163" s="32"/>
      <c r="CW163" s="26"/>
      <c r="CX163" s="26"/>
      <c r="CY163" s="26"/>
      <c r="CZ163" s="26"/>
    </row>
    <row r="164" ht="15.75" customHeight="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31"/>
      <c r="BC164" s="31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32"/>
      <c r="CS164" s="26"/>
      <c r="CT164" s="26"/>
      <c r="CU164" s="26"/>
      <c r="CV164" s="32"/>
      <c r="CW164" s="26"/>
      <c r="CX164" s="26"/>
      <c r="CY164" s="26"/>
      <c r="CZ164" s="26"/>
    </row>
    <row r="165" ht="15.75" customHeight="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31"/>
      <c r="BC165" s="31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32"/>
      <c r="CS165" s="26"/>
      <c r="CT165" s="26"/>
      <c r="CU165" s="26"/>
      <c r="CV165" s="32"/>
      <c r="CW165" s="26"/>
      <c r="CX165" s="26"/>
      <c r="CY165" s="26"/>
      <c r="CZ165" s="26"/>
    </row>
    <row r="166" ht="15.75" customHeight="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31"/>
      <c r="BC166" s="31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32"/>
      <c r="CS166" s="26"/>
      <c r="CT166" s="26"/>
      <c r="CU166" s="26"/>
      <c r="CV166" s="32"/>
      <c r="CW166" s="26"/>
      <c r="CX166" s="26"/>
      <c r="CY166" s="26"/>
      <c r="CZ166" s="26"/>
    </row>
    <row r="167" ht="15.75" customHeight="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31"/>
      <c r="BC167" s="31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32"/>
      <c r="CS167" s="26"/>
      <c r="CT167" s="26"/>
      <c r="CU167" s="26"/>
      <c r="CV167" s="32"/>
      <c r="CW167" s="26"/>
      <c r="CX167" s="26"/>
      <c r="CY167" s="26"/>
      <c r="CZ167" s="26"/>
    </row>
    <row r="168" ht="15.75" customHeight="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31"/>
      <c r="BC168" s="31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32"/>
      <c r="CS168" s="26"/>
      <c r="CT168" s="26"/>
      <c r="CU168" s="26"/>
      <c r="CV168" s="32"/>
      <c r="CW168" s="26"/>
      <c r="CX168" s="26"/>
      <c r="CY168" s="26"/>
      <c r="CZ168" s="26"/>
    </row>
    <row r="169" ht="15.75" customHeight="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31"/>
      <c r="BC169" s="31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32"/>
      <c r="CS169" s="26"/>
      <c r="CT169" s="26"/>
      <c r="CU169" s="26"/>
      <c r="CV169" s="32"/>
      <c r="CW169" s="26"/>
      <c r="CX169" s="26"/>
      <c r="CY169" s="26"/>
      <c r="CZ169" s="26"/>
    </row>
    <row r="170" ht="15.75" customHeight="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31"/>
      <c r="BC170" s="31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32"/>
      <c r="CS170" s="26"/>
      <c r="CT170" s="26"/>
      <c r="CU170" s="26"/>
      <c r="CV170" s="32"/>
      <c r="CW170" s="26"/>
      <c r="CX170" s="26"/>
      <c r="CY170" s="26"/>
      <c r="CZ170" s="26"/>
    </row>
    <row r="171" ht="15.75" customHeight="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31"/>
      <c r="BC171" s="31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32"/>
      <c r="CS171" s="26"/>
      <c r="CT171" s="26"/>
      <c r="CU171" s="26"/>
      <c r="CV171" s="32"/>
      <c r="CW171" s="26"/>
      <c r="CX171" s="26"/>
      <c r="CY171" s="26"/>
      <c r="CZ171" s="26"/>
    </row>
    <row r="172" ht="15.75" customHeight="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31"/>
      <c r="BC172" s="31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32"/>
      <c r="CS172" s="26"/>
      <c r="CT172" s="26"/>
      <c r="CU172" s="26"/>
      <c r="CV172" s="32"/>
      <c r="CW172" s="26"/>
      <c r="CX172" s="26"/>
      <c r="CY172" s="26"/>
      <c r="CZ172" s="26"/>
    </row>
    <row r="173" ht="15.75" customHeight="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31"/>
      <c r="BC173" s="31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32"/>
      <c r="CS173" s="26"/>
      <c r="CT173" s="26"/>
      <c r="CU173" s="26"/>
      <c r="CV173" s="32"/>
      <c r="CW173" s="26"/>
      <c r="CX173" s="26"/>
      <c r="CY173" s="26"/>
      <c r="CZ173" s="26"/>
    </row>
    <row r="174" ht="15.75" customHeight="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31"/>
      <c r="BC174" s="31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32"/>
      <c r="CS174" s="26"/>
      <c r="CT174" s="26"/>
      <c r="CU174" s="26"/>
      <c r="CV174" s="32"/>
      <c r="CW174" s="26"/>
      <c r="CX174" s="26"/>
      <c r="CY174" s="26"/>
      <c r="CZ174" s="26"/>
    </row>
    <row r="175" ht="15.75" customHeight="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31"/>
      <c r="BC175" s="31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32"/>
      <c r="CS175" s="26"/>
      <c r="CT175" s="26"/>
      <c r="CU175" s="26"/>
      <c r="CV175" s="32"/>
      <c r="CW175" s="26"/>
      <c r="CX175" s="26"/>
      <c r="CY175" s="26"/>
      <c r="CZ175" s="26"/>
    </row>
    <row r="176" ht="15.75" customHeight="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31"/>
      <c r="BC176" s="31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32"/>
      <c r="CS176" s="26"/>
      <c r="CT176" s="26"/>
      <c r="CU176" s="26"/>
      <c r="CV176" s="32"/>
      <c r="CW176" s="26"/>
      <c r="CX176" s="26"/>
      <c r="CY176" s="26"/>
      <c r="CZ176" s="26"/>
    </row>
    <row r="177" ht="15.75" customHeight="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31"/>
      <c r="BC177" s="31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32"/>
      <c r="CS177" s="26"/>
      <c r="CT177" s="26"/>
      <c r="CU177" s="26"/>
      <c r="CV177" s="32"/>
      <c r="CW177" s="26"/>
      <c r="CX177" s="26"/>
      <c r="CY177" s="26"/>
      <c r="CZ177" s="26"/>
    </row>
    <row r="178" ht="15.75" customHeight="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31"/>
      <c r="BC178" s="31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32"/>
      <c r="CS178" s="26"/>
      <c r="CT178" s="26"/>
      <c r="CU178" s="26"/>
      <c r="CV178" s="32"/>
      <c r="CW178" s="26"/>
      <c r="CX178" s="26"/>
      <c r="CY178" s="26"/>
      <c r="CZ178" s="26"/>
    </row>
    <row r="179" ht="15.75" customHeight="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31"/>
      <c r="BC179" s="31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32"/>
      <c r="CS179" s="26"/>
      <c r="CT179" s="26"/>
      <c r="CU179" s="26"/>
      <c r="CV179" s="32"/>
      <c r="CW179" s="26"/>
      <c r="CX179" s="26"/>
      <c r="CY179" s="26"/>
      <c r="CZ179" s="26"/>
    </row>
    <row r="180" ht="15.75" customHeight="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31"/>
      <c r="BC180" s="31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32"/>
      <c r="CS180" s="26"/>
      <c r="CT180" s="26"/>
      <c r="CU180" s="26"/>
      <c r="CV180" s="32"/>
      <c r="CW180" s="26"/>
      <c r="CX180" s="26"/>
      <c r="CY180" s="26"/>
      <c r="CZ180" s="26"/>
    </row>
    <row r="181" ht="15.75" customHeight="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31"/>
      <c r="BC181" s="31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32"/>
      <c r="CS181" s="26"/>
      <c r="CT181" s="26"/>
      <c r="CU181" s="26"/>
      <c r="CV181" s="32"/>
      <c r="CW181" s="26"/>
      <c r="CX181" s="26"/>
      <c r="CY181" s="26"/>
      <c r="CZ181" s="26"/>
    </row>
    <row r="182" ht="15.75" customHeight="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31"/>
      <c r="BC182" s="31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32"/>
      <c r="CS182" s="26"/>
      <c r="CT182" s="26"/>
      <c r="CU182" s="26"/>
      <c r="CV182" s="32"/>
      <c r="CW182" s="26"/>
      <c r="CX182" s="26"/>
      <c r="CY182" s="26"/>
      <c r="CZ182" s="26"/>
    </row>
    <row r="183" ht="15.75" customHeight="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31"/>
      <c r="BC183" s="31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32"/>
      <c r="CS183" s="26"/>
      <c r="CT183" s="26"/>
      <c r="CU183" s="26"/>
      <c r="CV183" s="32"/>
      <c r="CW183" s="26"/>
      <c r="CX183" s="26"/>
      <c r="CY183" s="26"/>
      <c r="CZ183" s="26"/>
    </row>
    <row r="184" ht="15.75" customHeight="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31"/>
      <c r="BC184" s="31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32"/>
      <c r="CS184" s="26"/>
      <c r="CT184" s="26"/>
      <c r="CU184" s="26"/>
      <c r="CV184" s="32"/>
      <c r="CW184" s="26"/>
      <c r="CX184" s="26"/>
      <c r="CY184" s="26"/>
      <c r="CZ184" s="26"/>
    </row>
    <row r="185" ht="15.75" customHeight="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31"/>
      <c r="BC185" s="31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32"/>
      <c r="CS185" s="26"/>
      <c r="CT185" s="26"/>
      <c r="CU185" s="26"/>
      <c r="CV185" s="32"/>
      <c r="CW185" s="26"/>
      <c r="CX185" s="26"/>
      <c r="CY185" s="26"/>
      <c r="CZ185" s="26"/>
    </row>
    <row r="186" ht="15.75" customHeight="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31"/>
      <c r="BC186" s="31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32"/>
      <c r="CS186" s="26"/>
      <c r="CT186" s="26"/>
      <c r="CU186" s="26"/>
      <c r="CV186" s="32"/>
      <c r="CW186" s="26"/>
      <c r="CX186" s="26"/>
      <c r="CY186" s="26"/>
      <c r="CZ186" s="26"/>
    </row>
    <row r="187" ht="15.75" customHeight="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31"/>
      <c r="BC187" s="31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32"/>
      <c r="CS187" s="26"/>
      <c r="CT187" s="26"/>
      <c r="CU187" s="26"/>
      <c r="CV187" s="32"/>
      <c r="CW187" s="26"/>
      <c r="CX187" s="26"/>
      <c r="CY187" s="26"/>
      <c r="CZ187" s="26"/>
    </row>
    <row r="188" ht="15.75" customHeight="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31"/>
      <c r="BC188" s="31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32"/>
      <c r="CS188" s="26"/>
      <c r="CT188" s="26"/>
      <c r="CU188" s="26"/>
      <c r="CV188" s="32"/>
      <c r="CW188" s="26"/>
      <c r="CX188" s="26"/>
      <c r="CY188" s="26"/>
      <c r="CZ188" s="26"/>
    </row>
    <row r="189" ht="15.75" customHeight="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31"/>
      <c r="BC189" s="31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32"/>
      <c r="CS189" s="26"/>
      <c r="CT189" s="26"/>
      <c r="CU189" s="26"/>
      <c r="CV189" s="32"/>
      <c r="CW189" s="26"/>
      <c r="CX189" s="26"/>
      <c r="CY189" s="26"/>
      <c r="CZ189" s="26"/>
    </row>
    <row r="190" ht="15.75" customHeight="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31"/>
      <c r="BC190" s="31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32"/>
      <c r="CS190" s="26"/>
      <c r="CT190" s="26"/>
      <c r="CU190" s="26"/>
      <c r="CV190" s="32"/>
      <c r="CW190" s="26"/>
      <c r="CX190" s="26"/>
      <c r="CY190" s="26"/>
      <c r="CZ190" s="26"/>
    </row>
    <row r="191" ht="15.75" customHeight="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31"/>
      <c r="BC191" s="31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32"/>
      <c r="CS191" s="26"/>
      <c r="CT191" s="26"/>
      <c r="CU191" s="26"/>
      <c r="CV191" s="32"/>
      <c r="CW191" s="26"/>
      <c r="CX191" s="26"/>
      <c r="CY191" s="26"/>
      <c r="CZ191" s="26"/>
    </row>
    <row r="192" ht="15.75" customHeight="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31"/>
      <c r="BC192" s="31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32"/>
      <c r="CS192" s="26"/>
      <c r="CT192" s="26"/>
      <c r="CU192" s="26"/>
      <c r="CV192" s="32"/>
      <c r="CW192" s="26"/>
      <c r="CX192" s="26"/>
      <c r="CY192" s="26"/>
      <c r="CZ192" s="26"/>
    </row>
    <row r="193" ht="15.75" customHeight="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31"/>
      <c r="BC193" s="31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32"/>
      <c r="CS193" s="26"/>
      <c r="CT193" s="26"/>
      <c r="CU193" s="26"/>
      <c r="CV193" s="32"/>
      <c r="CW193" s="26"/>
      <c r="CX193" s="26"/>
      <c r="CY193" s="26"/>
      <c r="CZ193" s="26"/>
    </row>
    <row r="194" ht="15.75" customHeight="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31"/>
      <c r="BC194" s="31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32"/>
      <c r="CS194" s="26"/>
      <c r="CT194" s="26"/>
      <c r="CU194" s="26"/>
      <c r="CV194" s="32"/>
      <c r="CW194" s="26"/>
      <c r="CX194" s="26"/>
      <c r="CY194" s="26"/>
      <c r="CZ194" s="26"/>
    </row>
    <row r="195" ht="15.75" customHeight="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31"/>
      <c r="BC195" s="31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32"/>
      <c r="CS195" s="26"/>
      <c r="CT195" s="26"/>
      <c r="CU195" s="26"/>
      <c r="CV195" s="32"/>
      <c r="CW195" s="26"/>
      <c r="CX195" s="26"/>
      <c r="CY195" s="26"/>
      <c r="CZ195" s="26"/>
    </row>
    <row r="196" ht="15.75" customHeight="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31"/>
      <c r="BC196" s="31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32"/>
      <c r="CS196" s="26"/>
      <c r="CT196" s="26"/>
      <c r="CU196" s="26"/>
      <c r="CV196" s="32"/>
      <c r="CW196" s="26"/>
      <c r="CX196" s="26"/>
      <c r="CY196" s="26"/>
      <c r="CZ196" s="26"/>
    </row>
    <row r="197" ht="15.75" customHeight="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31"/>
      <c r="BC197" s="31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32"/>
      <c r="CS197" s="26"/>
      <c r="CT197" s="26"/>
      <c r="CU197" s="26"/>
      <c r="CV197" s="32"/>
      <c r="CW197" s="26"/>
      <c r="CX197" s="26"/>
      <c r="CY197" s="26"/>
      <c r="CZ197" s="26"/>
    </row>
    <row r="198" ht="15.75" customHeight="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31"/>
      <c r="BC198" s="31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32"/>
      <c r="CS198" s="26"/>
      <c r="CT198" s="26"/>
      <c r="CU198" s="26"/>
      <c r="CV198" s="32"/>
      <c r="CW198" s="26"/>
      <c r="CX198" s="26"/>
      <c r="CY198" s="26"/>
      <c r="CZ198" s="26"/>
    </row>
    <row r="199" ht="15.75" customHeight="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31"/>
      <c r="BC199" s="31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32"/>
      <c r="CS199" s="26"/>
      <c r="CT199" s="26"/>
      <c r="CU199" s="26"/>
      <c r="CV199" s="32"/>
      <c r="CW199" s="26"/>
      <c r="CX199" s="26"/>
      <c r="CY199" s="26"/>
      <c r="CZ199" s="26"/>
    </row>
    <row r="200" ht="15.75" customHeight="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31"/>
      <c r="BC200" s="31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32"/>
      <c r="CS200" s="26"/>
      <c r="CT200" s="26"/>
      <c r="CU200" s="26"/>
      <c r="CV200" s="32"/>
      <c r="CW200" s="26"/>
      <c r="CX200" s="26"/>
      <c r="CY200" s="26"/>
      <c r="CZ200" s="26"/>
    </row>
    <row r="201" ht="15.75" customHeight="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31"/>
      <c r="BC201" s="31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32"/>
      <c r="CS201" s="26"/>
      <c r="CT201" s="26"/>
      <c r="CU201" s="26"/>
      <c r="CV201" s="32"/>
      <c r="CW201" s="26"/>
      <c r="CX201" s="26"/>
      <c r="CY201" s="26"/>
      <c r="CZ201" s="26"/>
    </row>
    <row r="202" ht="15.75" customHeight="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31"/>
      <c r="BC202" s="31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32"/>
      <c r="CS202" s="26"/>
      <c r="CT202" s="26"/>
      <c r="CU202" s="26"/>
      <c r="CV202" s="32"/>
      <c r="CW202" s="26"/>
      <c r="CX202" s="26"/>
      <c r="CY202" s="26"/>
      <c r="CZ202" s="26"/>
    </row>
    <row r="203" ht="15.75" customHeight="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31"/>
      <c r="BC203" s="31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32"/>
      <c r="CS203" s="26"/>
      <c r="CT203" s="26"/>
      <c r="CU203" s="26"/>
      <c r="CV203" s="32"/>
      <c r="CW203" s="26"/>
      <c r="CX203" s="26"/>
      <c r="CY203" s="26"/>
      <c r="CZ203" s="26"/>
    </row>
    <row r="204" ht="15.75" customHeight="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31"/>
      <c r="BC204" s="31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32"/>
      <c r="CS204" s="26"/>
      <c r="CT204" s="26"/>
      <c r="CU204" s="26"/>
      <c r="CV204" s="32"/>
      <c r="CW204" s="26"/>
      <c r="CX204" s="26"/>
      <c r="CY204" s="26"/>
      <c r="CZ204" s="26"/>
    </row>
    <row r="205" ht="15.75" customHeight="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31"/>
      <c r="BC205" s="31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32"/>
      <c r="CS205" s="26"/>
      <c r="CT205" s="26"/>
      <c r="CU205" s="26"/>
      <c r="CV205" s="32"/>
      <c r="CW205" s="26"/>
      <c r="CX205" s="26"/>
      <c r="CY205" s="26"/>
      <c r="CZ205" s="26"/>
    </row>
    <row r="206" ht="15.75" customHeight="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31"/>
      <c r="BC206" s="31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32"/>
      <c r="CS206" s="26"/>
      <c r="CT206" s="26"/>
      <c r="CU206" s="26"/>
      <c r="CV206" s="32"/>
      <c r="CW206" s="26"/>
      <c r="CX206" s="26"/>
      <c r="CY206" s="26"/>
      <c r="CZ206" s="26"/>
    </row>
    <row r="207" ht="15.75" customHeight="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31"/>
      <c r="BC207" s="31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32"/>
      <c r="CS207" s="26"/>
      <c r="CT207" s="26"/>
      <c r="CU207" s="26"/>
      <c r="CV207" s="32"/>
      <c r="CW207" s="26"/>
      <c r="CX207" s="26"/>
      <c r="CY207" s="26"/>
      <c r="CZ207" s="26"/>
    </row>
    <row r="208" ht="15.75" customHeight="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31"/>
      <c r="BC208" s="31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32"/>
      <c r="CS208" s="26"/>
      <c r="CT208" s="26"/>
      <c r="CU208" s="26"/>
      <c r="CV208" s="32"/>
      <c r="CW208" s="26"/>
      <c r="CX208" s="26"/>
      <c r="CY208" s="26"/>
      <c r="CZ208" s="26"/>
    </row>
    <row r="209" ht="15.75" customHeight="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31"/>
      <c r="BC209" s="31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32"/>
      <c r="CS209" s="26"/>
      <c r="CT209" s="26"/>
      <c r="CU209" s="26"/>
      <c r="CV209" s="32"/>
      <c r="CW209" s="26"/>
      <c r="CX209" s="26"/>
      <c r="CY209" s="26"/>
      <c r="CZ209" s="26"/>
    </row>
    <row r="210" ht="15.75" customHeight="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31"/>
      <c r="BC210" s="31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32"/>
      <c r="CS210" s="26"/>
      <c r="CT210" s="26"/>
      <c r="CU210" s="26"/>
      <c r="CV210" s="32"/>
      <c r="CW210" s="26"/>
      <c r="CX210" s="26"/>
      <c r="CY210" s="26"/>
      <c r="CZ210" s="26"/>
    </row>
    <row r="211" ht="15.75" customHeight="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31"/>
      <c r="BC211" s="31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32"/>
      <c r="CS211" s="26"/>
      <c r="CT211" s="26"/>
      <c r="CU211" s="26"/>
      <c r="CV211" s="32"/>
      <c r="CW211" s="26"/>
      <c r="CX211" s="26"/>
      <c r="CY211" s="26"/>
      <c r="CZ211" s="26"/>
    </row>
    <row r="212" ht="15.75" customHeight="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31"/>
      <c r="BC212" s="31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32"/>
      <c r="CS212" s="26"/>
      <c r="CT212" s="26"/>
      <c r="CU212" s="26"/>
      <c r="CV212" s="32"/>
      <c r="CW212" s="26"/>
      <c r="CX212" s="26"/>
      <c r="CY212" s="26"/>
      <c r="CZ212" s="26"/>
    </row>
    <row r="213" ht="15.75" customHeight="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31"/>
      <c r="BC213" s="31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32"/>
      <c r="CS213" s="26"/>
      <c r="CT213" s="26"/>
      <c r="CU213" s="26"/>
      <c r="CV213" s="32"/>
      <c r="CW213" s="26"/>
      <c r="CX213" s="26"/>
      <c r="CY213" s="26"/>
      <c r="CZ213" s="26"/>
    </row>
    <row r="214" ht="15.75" customHeight="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31"/>
      <c r="BC214" s="31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32"/>
      <c r="CS214" s="26"/>
      <c r="CT214" s="26"/>
      <c r="CU214" s="26"/>
      <c r="CV214" s="32"/>
      <c r="CW214" s="26"/>
      <c r="CX214" s="26"/>
      <c r="CY214" s="26"/>
      <c r="CZ214" s="26"/>
    </row>
    <row r="215" ht="15.75" customHeight="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31"/>
      <c r="BC215" s="31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32"/>
      <c r="CS215" s="26"/>
      <c r="CT215" s="26"/>
      <c r="CU215" s="26"/>
      <c r="CV215" s="32"/>
      <c r="CW215" s="26"/>
      <c r="CX215" s="26"/>
      <c r="CY215" s="26"/>
      <c r="CZ215" s="26"/>
    </row>
    <row r="216" ht="15.75" customHeight="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31"/>
      <c r="BC216" s="31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32"/>
      <c r="CS216" s="26"/>
      <c r="CT216" s="26"/>
      <c r="CU216" s="26"/>
      <c r="CV216" s="32"/>
      <c r="CW216" s="26"/>
      <c r="CX216" s="26"/>
      <c r="CY216" s="26"/>
      <c r="CZ216" s="26"/>
    </row>
    <row r="217" ht="15.75" customHeight="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31"/>
      <c r="BC217" s="31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32"/>
      <c r="CS217" s="26"/>
      <c r="CT217" s="26"/>
      <c r="CU217" s="26"/>
      <c r="CV217" s="32"/>
      <c r="CW217" s="26"/>
      <c r="CX217" s="26"/>
      <c r="CY217" s="26"/>
      <c r="CZ217" s="26"/>
    </row>
    <row r="218" ht="15.75" customHeight="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31"/>
      <c r="BC218" s="31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32"/>
      <c r="CS218" s="26"/>
      <c r="CT218" s="26"/>
      <c r="CU218" s="26"/>
      <c r="CV218" s="32"/>
      <c r="CW218" s="26"/>
      <c r="CX218" s="26"/>
      <c r="CY218" s="26"/>
      <c r="CZ218" s="26"/>
    </row>
    <row r="219" ht="15.75" customHeight="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31"/>
      <c r="BC219" s="31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32"/>
      <c r="CS219" s="26"/>
      <c r="CT219" s="26"/>
      <c r="CU219" s="26"/>
      <c r="CV219" s="32"/>
      <c r="CW219" s="26"/>
      <c r="CX219" s="26"/>
      <c r="CY219" s="26"/>
      <c r="CZ219" s="26"/>
    </row>
    <row r="220" ht="15.75" customHeight="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31"/>
      <c r="BC220" s="31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32"/>
      <c r="CS220" s="26"/>
      <c r="CT220" s="26"/>
      <c r="CU220" s="26"/>
      <c r="CV220" s="32"/>
      <c r="CW220" s="26"/>
      <c r="CX220" s="26"/>
      <c r="CY220" s="26"/>
      <c r="CZ220" s="26"/>
    </row>
    <row r="221" ht="15.75" customHeight="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31"/>
      <c r="BC221" s="31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32"/>
      <c r="CS221" s="26"/>
      <c r="CT221" s="26"/>
      <c r="CU221" s="26"/>
      <c r="CV221" s="32"/>
      <c r="CW221" s="26"/>
      <c r="CX221" s="26"/>
      <c r="CY221" s="26"/>
      <c r="CZ221" s="26"/>
    </row>
    <row r="222" ht="15.75" customHeight="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31"/>
      <c r="BC222" s="31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32"/>
      <c r="CS222" s="26"/>
      <c r="CT222" s="26"/>
      <c r="CU222" s="26"/>
      <c r="CV222" s="32"/>
      <c r="CW222" s="26"/>
      <c r="CX222" s="26"/>
      <c r="CY222" s="26"/>
      <c r="CZ222" s="26"/>
    </row>
    <row r="223" ht="15.75" customHeight="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31"/>
      <c r="BC223" s="31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32"/>
      <c r="CS223" s="26"/>
      <c r="CT223" s="26"/>
      <c r="CU223" s="26"/>
      <c r="CV223" s="32"/>
      <c r="CW223" s="26"/>
      <c r="CX223" s="26"/>
      <c r="CY223" s="26"/>
      <c r="CZ223" s="26"/>
    </row>
    <row r="224" ht="15.75" customHeight="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31"/>
      <c r="BC224" s="31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32"/>
      <c r="CS224" s="26"/>
      <c r="CT224" s="26"/>
      <c r="CU224" s="26"/>
      <c r="CV224" s="32"/>
      <c r="CW224" s="26"/>
      <c r="CX224" s="26"/>
      <c r="CY224" s="26"/>
      <c r="CZ224" s="26"/>
    </row>
    <row r="225" ht="15.75" customHeight="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31"/>
      <c r="BC225" s="31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32"/>
      <c r="CS225" s="26"/>
      <c r="CT225" s="26"/>
      <c r="CU225" s="26"/>
      <c r="CV225" s="32"/>
      <c r="CW225" s="26"/>
      <c r="CX225" s="26"/>
      <c r="CY225" s="26"/>
      <c r="CZ225" s="26"/>
    </row>
    <row r="226" ht="15.75" customHeight="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31"/>
      <c r="BC226" s="31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32"/>
      <c r="CS226" s="26"/>
      <c r="CT226" s="26"/>
      <c r="CU226" s="26"/>
      <c r="CV226" s="32"/>
      <c r="CW226" s="26"/>
      <c r="CX226" s="26"/>
      <c r="CY226" s="26"/>
      <c r="CZ226" s="26"/>
    </row>
    <row r="227" ht="15.75" customHeight="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31"/>
      <c r="BC227" s="31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32"/>
      <c r="CS227" s="26"/>
      <c r="CT227" s="26"/>
      <c r="CU227" s="26"/>
      <c r="CV227" s="32"/>
      <c r="CW227" s="26"/>
      <c r="CX227" s="26"/>
      <c r="CY227" s="26"/>
      <c r="CZ227" s="26"/>
    </row>
    <row r="228" ht="15.75" customHeight="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31"/>
      <c r="BC228" s="31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32"/>
      <c r="CS228" s="26"/>
      <c r="CT228" s="26"/>
      <c r="CU228" s="26"/>
      <c r="CV228" s="32"/>
      <c r="CW228" s="26"/>
      <c r="CX228" s="26"/>
      <c r="CY228" s="26"/>
      <c r="CZ228" s="26"/>
    </row>
    <row r="229" ht="15.75" customHeight="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31"/>
      <c r="BC229" s="31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32"/>
      <c r="CS229" s="26"/>
      <c r="CT229" s="26"/>
      <c r="CU229" s="26"/>
      <c r="CV229" s="32"/>
      <c r="CW229" s="26"/>
      <c r="CX229" s="26"/>
      <c r="CY229" s="26"/>
      <c r="CZ229" s="26"/>
    </row>
    <row r="230" ht="15.75" customHeight="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31"/>
      <c r="BC230" s="31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32"/>
      <c r="CS230" s="26"/>
      <c r="CT230" s="26"/>
      <c r="CU230" s="26"/>
      <c r="CV230" s="32"/>
      <c r="CW230" s="26"/>
      <c r="CX230" s="26"/>
      <c r="CY230" s="26"/>
      <c r="CZ230" s="26"/>
    </row>
    <row r="231" ht="15.75" customHeight="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31"/>
      <c r="BC231" s="31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32"/>
      <c r="CS231" s="26"/>
      <c r="CT231" s="26"/>
      <c r="CU231" s="26"/>
      <c r="CV231" s="32"/>
      <c r="CW231" s="26"/>
      <c r="CX231" s="26"/>
      <c r="CY231" s="26"/>
      <c r="CZ231" s="26"/>
    </row>
    <row r="232" ht="15.75" customHeight="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31"/>
      <c r="BC232" s="31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32"/>
      <c r="CS232" s="26"/>
      <c r="CT232" s="26"/>
      <c r="CU232" s="26"/>
      <c r="CV232" s="32"/>
      <c r="CW232" s="26"/>
      <c r="CX232" s="26"/>
      <c r="CY232" s="26"/>
      <c r="CZ232" s="26"/>
    </row>
    <row r="233" ht="15.75" customHeight="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31"/>
      <c r="BC233" s="31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32"/>
      <c r="CS233" s="26"/>
      <c r="CT233" s="26"/>
      <c r="CU233" s="26"/>
      <c r="CV233" s="32"/>
      <c r="CW233" s="26"/>
      <c r="CX233" s="26"/>
      <c r="CY233" s="26"/>
      <c r="CZ233" s="26"/>
    </row>
    <row r="234" ht="15.75" customHeight="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31"/>
      <c r="BC234" s="31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32"/>
      <c r="CS234" s="26"/>
      <c r="CT234" s="26"/>
      <c r="CU234" s="26"/>
      <c r="CV234" s="32"/>
      <c r="CW234" s="26"/>
      <c r="CX234" s="26"/>
      <c r="CY234" s="26"/>
      <c r="CZ234" s="26"/>
    </row>
    <row r="235" ht="15.75" customHeight="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31"/>
      <c r="BC235" s="31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32"/>
      <c r="CS235" s="26"/>
      <c r="CT235" s="26"/>
      <c r="CU235" s="26"/>
      <c r="CV235" s="32"/>
      <c r="CW235" s="26"/>
      <c r="CX235" s="26"/>
      <c r="CY235" s="26"/>
      <c r="CZ235" s="26"/>
    </row>
    <row r="236" ht="15.75" customHeight="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31"/>
      <c r="BC236" s="31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32"/>
      <c r="CS236" s="26"/>
      <c r="CT236" s="26"/>
      <c r="CU236" s="26"/>
      <c r="CV236" s="32"/>
      <c r="CW236" s="26"/>
      <c r="CX236" s="26"/>
      <c r="CY236" s="26"/>
      <c r="CZ236" s="26"/>
    </row>
    <row r="237" ht="15.75" customHeight="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31"/>
      <c r="BC237" s="31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32"/>
      <c r="CS237" s="26"/>
      <c r="CT237" s="26"/>
      <c r="CU237" s="26"/>
      <c r="CV237" s="32"/>
      <c r="CW237" s="26"/>
      <c r="CX237" s="26"/>
      <c r="CY237" s="26"/>
      <c r="CZ237" s="26"/>
    </row>
    <row r="238" ht="15.75" customHeight="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31"/>
      <c r="BC238" s="31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32"/>
      <c r="CS238" s="26"/>
      <c r="CT238" s="26"/>
      <c r="CU238" s="26"/>
      <c r="CV238" s="32"/>
      <c r="CW238" s="26"/>
      <c r="CX238" s="26"/>
      <c r="CY238" s="26"/>
      <c r="CZ238" s="26"/>
    </row>
    <row r="239" ht="15.75" customHeight="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31"/>
      <c r="BC239" s="31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32"/>
      <c r="CS239" s="26"/>
      <c r="CT239" s="26"/>
      <c r="CU239" s="26"/>
      <c r="CV239" s="32"/>
      <c r="CW239" s="26"/>
      <c r="CX239" s="26"/>
      <c r="CY239" s="26"/>
      <c r="CZ239" s="26"/>
    </row>
    <row r="240" ht="15.75" customHeight="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31"/>
      <c r="BC240" s="31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32"/>
      <c r="CS240" s="26"/>
      <c r="CT240" s="26"/>
      <c r="CU240" s="26"/>
      <c r="CV240" s="32"/>
      <c r="CW240" s="26"/>
      <c r="CX240" s="26"/>
      <c r="CY240" s="26"/>
      <c r="CZ240" s="26"/>
    </row>
    <row r="241" ht="15.75" customHeight="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31"/>
      <c r="BC241" s="31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32"/>
      <c r="CS241" s="26"/>
      <c r="CT241" s="26"/>
      <c r="CU241" s="26"/>
      <c r="CV241" s="32"/>
      <c r="CW241" s="26"/>
      <c r="CX241" s="26"/>
      <c r="CY241" s="26"/>
      <c r="CZ241" s="26"/>
    </row>
    <row r="242" ht="15.75" customHeight="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31"/>
      <c r="BC242" s="31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32"/>
      <c r="CS242" s="26"/>
      <c r="CT242" s="26"/>
      <c r="CU242" s="26"/>
      <c r="CV242" s="32"/>
      <c r="CW242" s="26"/>
      <c r="CX242" s="26"/>
      <c r="CY242" s="26"/>
      <c r="CZ242" s="26"/>
    </row>
    <row r="243" ht="15.75" customHeight="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31"/>
      <c r="BC243" s="31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32"/>
      <c r="CS243" s="26"/>
      <c r="CT243" s="26"/>
      <c r="CU243" s="26"/>
      <c r="CV243" s="32"/>
      <c r="CW243" s="26"/>
      <c r="CX243" s="26"/>
      <c r="CY243" s="26"/>
      <c r="CZ243" s="26"/>
    </row>
    <row r="244" ht="15.75" customHeight="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31"/>
      <c r="BC244" s="31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32"/>
      <c r="CS244" s="26"/>
      <c r="CT244" s="26"/>
      <c r="CU244" s="26"/>
      <c r="CV244" s="32"/>
      <c r="CW244" s="26"/>
      <c r="CX244" s="26"/>
      <c r="CY244" s="26"/>
      <c r="CZ244" s="26"/>
    </row>
    <row r="245" ht="15.75" customHeight="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31"/>
      <c r="BC245" s="31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32"/>
      <c r="CS245" s="26"/>
      <c r="CT245" s="26"/>
      <c r="CU245" s="26"/>
      <c r="CV245" s="32"/>
      <c r="CW245" s="26"/>
      <c r="CX245" s="26"/>
      <c r="CY245" s="26"/>
      <c r="CZ245" s="26"/>
    </row>
    <row r="246" ht="15.75" customHeight="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31"/>
      <c r="BC246" s="31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32"/>
      <c r="CS246" s="26"/>
      <c r="CT246" s="26"/>
      <c r="CU246" s="26"/>
      <c r="CV246" s="32"/>
      <c r="CW246" s="26"/>
      <c r="CX246" s="26"/>
      <c r="CY246" s="26"/>
      <c r="CZ246" s="26"/>
    </row>
    <row r="247" ht="15.75" customHeight="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31"/>
      <c r="BC247" s="31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32"/>
      <c r="CS247" s="26"/>
      <c r="CT247" s="26"/>
      <c r="CU247" s="26"/>
      <c r="CV247" s="32"/>
      <c r="CW247" s="26"/>
      <c r="CX247" s="26"/>
      <c r="CY247" s="26"/>
      <c r="CZ247" s="26"/>
    </row>
    <row r="248" ht="15.75" customHeight="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31"/>
      <c r="BC248" s="31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32"/>
      <c r="CS248" s="26"/>
      <c r="CT248" s="26"/>
      <c r="CU248" s="26"/>
      <c r="CV248" s="32"/>
      <c r="CW248" s="26"/>
      <c r="CX248" s="26"/>
      <c r="CY248" s="26"/>
      <c r="CZ248" s="26"/>
    </row>
    <row r="249" ht="15.75" customHeight="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31"/>
      <c r="BC249" s="31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32"/>
      <c r="CS249" s="26"/>
      <c r="CT249" s="26"/>
      <c r="CU249" s="26"/>
      <c r="CV249" s="32"/>
      <c r="CW249" s="26"/>
      <c r="CX249" s="26"/>
      <c r="CY249" s="26"/>
      <c r="CZ249" s="26"/>
    </row>
    <row r="250" ht="15.75" customHeight="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31"/>
      <c r="BC250" s="31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32"/>
      <c r="CS250" s="26"/>
      <c r="CT250" s="26"/>
      <c r="CU250" s="26"/>
      <c r="CV250" s="32"/>
      <c r="CW250" s="26"/>
      <c r="CX250" s="26"/>
      <c r="CY250" s="26"/>
      <c r="CZ250" s="26"/>
    </row>
    <row r="251" ht="15.75" customHeight="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31"/>
      <c r="BC251" s="31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32"/>
      <c r="CS251" s="26"/>
      <c r="CT251" s="26"/>
      <c r="CU251" s="26"/>
      <c r="CV251" s="32"/>
      <c r="CW251" s="26"/>
      <c r="CX251" s="26"/>
      <c r="CY251" s="26"/>
      <c r="CZ251" s="26"/>
    </row>
    <row r="252" ht="15.75" customHeight="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31"/>
      <c r="BC252" s="31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32"/>
      <c r="CS252" s="26"/>
      <c r="CT252" s="26"/>
      <c r="CU252" s="26"/>
      <c r="CV252" s="32"/>
      <c r="CW252" s="26"/>
      <c r="CX252" s="26"/>
      <c r="CY252" s="26"/>
      <c r="CZ252" s="26"/>
    </row>
    <row r="253" ht="15.75" customHeight="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31"/>
      <c r="BC253" s="31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32"/>
      <c r="CS253" s="26"/>
      <c r="CT253" s="26"/>
      <c r="CU253" s="26"/>
      <c r="CV253" s="32"/>
      <c r="CW253" s="26"/>
      <c r="CX253" s="26"/>
      <c r="CY253" s="26"/>
      <c r="CZ253" s="26"/>
    </row>
    <row r="254" ht="15.75" customHeight="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31"/>
      <c r="BC254" s="31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32"/>
      <c r="CS254" s="26"/>
      <c r="CT254" s="26"/>
      <c r="CU254" s="26"/>
      <c r="CV254" s="32"/>
      <c r="CW254" s="26"/>
      <c r="CX254" s="26"/>
      <c r="CY254" s="26"/>
      <c r="CZ254" s="26"/>
    </row>
    <row r="255" ht="15.75" customHeight="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31"/>
      <c r="BC255" s="31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32"/>
      <c r="CS255" s="26"/>
      <c r="CT255" s="26"/>
      <c r="CU255" s="26"/>
      <c r="CV255" s="32"/>
      <c r="CW255" s="26"/>
      <c r="CX255" s="26"/>
      <c r="CY255" s="26"/>
      <c r="CZ255" s="26"/>
    </row>
    <row r="256" ht="15.75" customHeight="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31"/>
      <c r="BC256" s="31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32"/>
      <c r="CS256" s="26"/>
      <c r="CT256" s="26"/>
      <c r="CU256" s="26"/>
      <c r="CV256" s="32"/>
      <c r="CW256" s="26"/>
      <c r="CX256" s="26"/>
      <c r="CY256" s="26"/>
      <c r="CZ256" s="26"/>
    </row>
    <row r="257" ht="15.75" customHeight="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31"/>
      <c r="BC257" s="31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32"/>
      <c r="CS257" s="26"/>
      <c r="CT257" s="26"/>
      <c r="CU257" s="26"/>
      <c r="CV257" s="32"/>
      <c r="CW257" s="26"/>
      <c r="CX257" s="26"/>
      <c r="CY257" s="26"/>
      <c r="CZ257" s="26"/>
    </row>
    <row r="258" ht="15.75" customHeight="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31"/>
      <c r="BC258" s="31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32"/>
      <c r="CS258" s="26"/>
      <c r="CT258" s="26"/>
      <c r="CU258" s="26"/>
      <c r="CV258" s="32"/>
      <c r="CW258" s="26"/>
      <c r="CX258" s="26"/>
      <c r="CY258" s="26"/>
      <c r="CZ258" s="26"/>
    </row>
    <row r="259" ht="15.75" customHeight="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31"/>
      <c r="BC259" s="31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32"/>
      <c r="CS259" s="26"/>
      <c r="CT259" s="26"/>
      <c r="CU259" s="26"/>
      <c r="CV259" s="32"/>
      <c r="CW259" s="26"/>
      <c r="CX259" s="26"/>
      <c r="CY259" s="26"/>
      <c r="CZ259" s="26"/>
    </row>
    <row r="260" ht="15.75" customHeight="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31"/>
      <c r="BC260" s="31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32"/>
      <c r="CS260" s="26"/>
      <c r="CT260" s="26"/>
      <c r="CU260" s="26"/>
      <c r="CV260" s="32"/>
      <c r="CW260" s="26"/>
      <c r="CX260" s="26"/>
      <c r="CY260" s="26"/>
      <c r="CZ260" s="26"/>
    </row>
    <row r="261" ht="15.75" customHeight="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31"/>
      <c r="BC261" s="31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32"/>
      <c r="CS261" s="26"/>
      <c r="CT261" s="26"/>
      <c r="CU261" s="26"/>
      <c r="CV261" s="32"/>
      <c r="CW261" s="26"/>
      <c r="CX261" s="26"/>
      <c r="CY261" s="26"/>
      <c r="CZ261" s="26"/>
    </row>
    <row r="262" ht="15.75" customHeight="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31"/>
      <c r="BC262" s="31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32"/>
      <c r="CS262" s="26"/>
      <c r="CT262" s="26"/>
      <c r="CU262" s="26"/>
      <c r="CV262" s="32"/>
      <c r="CW262" s="26"/>
      <c r="CX262" s="26"/>
      <c r="CY262" s="26"/>
      <c r="CZ262" s="26"/>
    </row>
    <row r="263" ht="15.75" customHeight="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31"/>
      <c r="BC263" s="31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32"/>
      <c r="CS263" s="26"/>
      <c r="CT263" s="26"/>
      <c r="CU263" s="26"/>
      <c r="CV263" s="32"/>
      <c r="CW263" s="26"/>
      <c r="CX263" s="26"/>
      <c r="CY263" s="26"/>
      <c r="CZ263" s="26"/>
    </row>
    <row r="264" ht="15.75" customHeight="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31"/>
      <c r="BC264" s="31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32"/>
      <c r="CS264" s="26"/>
      <c r="CT264" s="26"/>
      <c r="CU264" s="26"/>
      <c r="CV264" s="32"/>
      <c r="CW264" s="26"/>
      <c r="CX264" s="26"/>
      <c r="CY264" s="26"/>
      <c r="CZ264" s="26"/>
    </row>
    <row r="265" ht="15.75" customHeight="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31"/>
      <c r="BC265" s="31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32"/>
      <c r="CS265" s="26"/>
      <c r="CT265" s="26"/>
      <c r="CU265" s="26"/>
      <c r="CV265" s="32"/>
      <c r="CW265" s="26"/>
      <c r="CX265" s="26"/>
      <c r="CY265" s="26"/>
      <c r="CZ265" s="26"/>
    </row>
    <row r="266" ht="15.75" customHeight="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31"/>
      <c r="BC266" s="31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32"/>
      <c r="CS266" s="26"/>
      <c r="CT266" s="26"/>
      <c r="CU266" s="26"/>
      <c r="CV266" s="32"/>
      <c r="CW266" s="26"/>
      <c r="CX266" s="26"/>
      <c r="CY266" s="26"/>
      <c r="CZ266" s="26"/>
    </row>
    <row r="267" ht="15.75" customHeight="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31"/>
      <c r="BC267" s="31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32"/>
      <c r="CS267" s="26"/>
      <c r="CT267" s="26"/>
      <c r="CU267" s="26"/>
      <c r="CV267" s="32"/>
      <c r="CW267" s="26"/>
      <c r="CX267" s="26"/>
      <c r="CY267" s="26"/>
      <c r="CZ267" s="26"/>
    </row>
    <row r="268" ht="15.75" customHeight="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31"/>
      <c r="BC268" s="31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32"/>
      <c r="CS268" s="26"/>
      <c r="CT268" s="26"/>
      <c r="CU268" s="26"/>
      <c r="CV268" s="32"/>
      <c r="CW268" s="26"/>
      <c r="CX268" s="26"/>
      <c r="CY268" s="26"/>
      <c r="CZ268" s="26"/>
    </row>
    <row r="269" ht="15.75" customHeight="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31"/>
      <c r="BC269" s="31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32"/>
      <c r="CS269" s="26"/>
      <c r="CT269" s="26"/>
      <c r="CU269" s="26"/>
      <c r="CV269" s="32"/>
      <c r="CW269" s="26"/>
      <c r="CX269" s="26"/>
      <c r="CY269" s="26"/>
      <c r="CZ269" s="26"/>
    </row>
    <row r="270" ht="15.75" customHeight="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31"/>
      <c r="BC270" s="31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32"/>
      <c r="CS270" s="26"/>
      <c r="CT270" s="26"/>
      <c r="CU270" s="26"/>
      <c r="CV270" s="32"/>
      <c r="CW270" s="26"/>
      <c r="CX270" s="26"/>
      <c r="CY270" s="26"/>
      <c r="CZ270" s="26"/>
    </row>
    <row r="271" ht="15.75" customHeight="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31"/>
      <c r="BC271" s="31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32"/>
      <c r="CS271" s="26"/>
      <c r="CT271" s="26"/>
      <c r="CU271" s="26"/>
      <c r="CV271" s="32"/>
      <c r="CW271" s="26"/>
      <c r="CX271" s="26"/>
      <c r="CY271" s="26"/>
      <c r="CZ271" s="26"/>
    </row>
    <row r="272" ht="15.75" customHeight="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31"/>
      <c r="BC272" s="31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32"/>
      <c r="CS272" s="26"/>
      <c r="CT272" s="26"/>
      <c r="CU272" s="26"/>
      <c r="CV272" s="32"/>
      <c r="CW272" s="26"/>
      <c r="CX272" s="26"/>
      <c r="CY272" s="26"/>
      <c r="CZ272" s="26"/>
    </row>
    <row r="273" ht="15.75" customHeight="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31"/>
      <c r="BC273" s="31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32"/>
      <c r="CS273" s="26"/>
      <c r="CT273" s="26"/>
      <c r="CU273" s="26"/>
      <c r="CV273" s="32"/>
      <c r="CW273" s="26"/>
      <c r="CX273" s="26"/>
      <c r="CY273" s="26"/>
      <c r="CZ273" s="26"/>
    </row>
    <row r="274" ht="15.75" customHeight="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31"/>
      <c r="BC274" s="31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32"/>
      <c r="CS274" s="26"/>
      <c r="CT274" s="26"/>
      <c r="CU274" s="26"/>
      <c r="CV274" s="32"/>
      <c r="CW274" s="26"/>
      <c r="CX274" s="26"/>
      <c r="CY274" s="26"/>
      <c r="CZ274" s="26"/>
    </row>
    <row r="275" ht="15.75" customHeight="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31"/>
      <c r="BC275" s="31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32"/>
      <c r="CS275" s="26"/>
      <c r="CT275" s="26"/>
      <c r="CU275" s="26"/>
      <c r="CV275" s="32"/>
      <c r="CW275" s="26"/>
      <c r="CX275" s="26"/>
      <c r="CY275" s="26"/>
      <c r="CZ275" s="26"/>
    </row>
    <row r="276" ht="15.75" customHeight="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31"/>
      <c r="BC276" s="31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32"/>
      <c r="CS276" s="26"/>
      <c r="CT276" s="26"/>
      <c r="CU276" s="26"/>
      <c r="CV276" s="32"/>
      <c r="CW276" s="26"/>
      <c r="CX276" s="26"/>
      <c r="CY276" s="26"/>
      <c r="CZ276" s="26"/>
    </row>
    <row r="277" ht="15.75" customHeight="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31"/>
      <c r="BC277" s="31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32"/>
      <c r="CS277" s="26"/>
      <c r="CT277" s="26"/>
      <c r="CU277" s="26"/>
      <c r="CV277" s="32"/>
      <c r="CW277" s="26"/>
      <c r="CX277" s="26"/>
      <c r="CY277" s="26"/>
      <c r="CZ277" s="26"/>
    </row>
    <row r="278" ht="15.75" customHeight="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31"/>
      <c r="BC278" s="31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32"/>
      <c r="CS278" s="26"/>
      <c r="CT278" s="26"/>
      <c r="CU278" s="26"/>
      <c r="CV278" s="32"/>
      <c r="CW278" s="26"/>
      <c r="CX278" s="26"/>
      <c r="CY278" s="26"/>
      <c r="CZ278" s="26"/>
    </row>
    <row r="279" ht="15.75" customHeight="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31"/>
      <c r="BC279" s="31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32"/>
      <c r="CS279" s="26"/>
      <c r="CT279" s="26"/>
      <c r="CU279" s="26"/>
      <c r="CV279" s="32"/>
      <c r="CW279" s="26"/>
      <c r="CX279" s="26"/>
      <c r="CY279" s="26"/>
      <c r="CZ279" s="26"/>
    </row>
    <row r="280" ht="15.75" customHeight="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31"/>
      <c r="BC280" s="31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32"/>
      <c r="CS280" s="26"/>
      <c r="CT280" s="26"/>
      <c r="CU280" s="26"/>
      <c r="CV280" s="32"/>
      <c r="CW280" s="26"/>
      <c r="CX280" s="26"/>
      <c r="CY280" s="26"/>
      <c r="CZ280" s="26"/>
    </row>
    <row r="281" ht="15.75" customHeight="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31"/>
      <c r="BC281" s="31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32"/>
      <c r="CS281" s="26"/>
      <c r="CT281" s="26"/>
      <c r="CU281" s="26"/>
      <c r="CV281" s="32"/>
      <c r="CW281" s="26"/>
      <c r="CX281" s="26"/>
      <c r="CY281" s="26"/>
      <c r="CZ281" s="26"/>
    </row>
    <row r="282" ht="15.75" customHeight="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31"/>
      <c r="BC282" s="31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32"/>
      <c r="CS282" s="26"/>
      <c r="CT282" s="26"/>
      <c r="CU282" s="26"/>
      <c r="CV282" s="32"/>
      <c r="CW282" s="26"/>
      <c r="CX282" s="26"/>
      <c r="CY282" s="26"/>
      <c r="CZ282" s="26"/>
    </row>
    <row r="283" ht="15.75" customHeight="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31"/>
      <c r="BC283" s="31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32"/>
      <c r="CS283" s="26"/>
      <c r="CT283" s="26"/>
      <c r="CU283" s="26"/>
      <c r="CV283" s="32"/>
      <c r="CW283" s="26"/>
      <c r="CX283" s="26"/>
      <c r="CY283" s="26"/>
      <c r="CZ283" s="26"/>
    </row>
    <row r="284" ht="15.75" customHeight="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31"/>
      <c r="BC284" s="31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32"/>
      <c r="CS284" s="26"/>
      <c r="CT284" s="26"/>
      <c r="CU284" s="26"/>
      <c r="CV284" s="32"/>
      <c r="CW284" s="26"/>
      <c r="CX284" s="26"/>
      <c r="CY284" s="26"/>
      <c r="CZ284" s="26"/>
    </row>
    <row r="285" ht="15.75" customHeight="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31"/>
      <c r="BC285" s="31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32"/>
      <c r="CS285" s="26"/>
      <c r="CT285" s="26"/>
      <c r="CU285" s="26"/>
      <c r="CV285" s="32"/>
      <c r="CW285" s="26"/>
      <c r="CX285" s="26"/>
      <c r="CY285" s="26"/>
      <c r="CZ285" s="26"/>
    </row>
    <row r="286" ht="15.75" customHeight="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31"/>
      <c r="BC286" s="31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32"/>
      <c r="CS286" s="26"/>
      <c r="CT286" s="26"/>
      <c r="CU286" s="26"/>
      <c r="CV286" s="32"/>
      <c r="CW286" s="26"/>
      <c r="CX286" s="26"/>
      <c r="CY286" s="26"/>
      <c r="CZ286" s="26"/>
    </row>
    <row r="287" ht="15.75" customHeight="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31"/>
      <c r="BC287" s="31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32"/>
      <c r="CS287" s="26"/>
      <c r="CT287" s="26"/>
      <c r="CU287" s="26"/>
      <c r="CV287" s="32"/>
      <c r="CW287" s="26"/>
      <c r="CX287" s="26"/>
      <c r="CY287" s="26"/>
      <c r="CZ287" s="26"/>
    </row>
    <row r="288" ht="15.75" customHeight="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31"/>
      <c r="BC288" s="31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32"/>
      <c r="CS288" s="26"/>
      <c r="CT288" s="26"/>
      <c r="CU288" s="26"/>
      <c r="CV288" s="32"/>
      <c r="CW288" s="26"/>
      <c r="CX288" s="26"/>
      <c r="CY288" s="26"/>
      <c r="CZ288" s="26"/>
    </row>
    <row r="289" ht="15.75" customHeight="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31"/>
      <c r="BC289" s="31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32"/>
      <c r="CS289" s="26"/>
      <c r="CT289" s="26"/>
      <c r="CU289" s="26"/>
      <c r="CV289" s="32"/>
      <c r="CW289" s="26"/>
      <c r="CX289" s="26"/>
      <c r="CY289" s="26"/>
      <c r="CZ289" s="26"/>
    </row>
    <row r="290" ht="15.75" customHeight="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31"/>
      <c r="BC290" s="31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32"/>
      <c r="CS290" s="26"/>
      <c r="CT290" s="26"/>
      <c r="CU290" s="26"/>
      <c r="CV290" s="32"/>
      <c r="CW290" s="26"/>
      <c r="CX290" s="26"/>
      <c r="CY290" s="26"/>
      <c r="CZ290" s="26"/>
    </row>
    <row r="291" ht="15.75" customHeight="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31"/>
      <c r="BC291" s="31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32"/>
      <c r="CS291" s="26"/>
      <c r="CT291" s="26"/>
      <c r="CU291" s="26"/>
      <c r="CV291" s="32"/>
      <c r="CW291" s="26"/>
      <c r="CX291" s="26"/>
      <c r="CY291" s="26"/>
      <c r="CZ291" s="26"/>
    </row>
    <row r="292" ht="15.75" customHeight="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31"/>
      <c r="BC292" s="31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32"/>
      <c r="CS292" s="26"/>
      <c r="CT292" s="26"/>
      <c r="CU292" s="26"/>
      <c r="CV292" s="32"/>
      <c r="CW292" s="26"/>
      <c r="CX292" s="26"/>
      <c r="CY292" s="26"/>
      <c r="CZ292" s="26"/>
    </row>
    <row r="293" ht="15.75" customHeight="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31"/>
      <c r="BC293" s="31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32"/>
      <c r="CS293" s="26"/>
      <c r="CT293" s="26"/>
      <c r="CU293" s="26"/>
      <c r="CV293" s="32"/>
      <c r="CW293" s="26"/>
      <c r="CX293" s="26"/>
      <c r="CY293" s="26"/>
      <c r="CZ293" s="26"/>
    </row>
    <row r="294" ht="15.75" customHeight="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31"/>
      <c r="BC294" s="31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32"/>
      <c r="CS294" s="26"/>
      <c r="CT294" s="26"/>
      <c r="CU294" s="26"/>
      <c r="CV294" s="32"/>
      <c r="CW294" s="26"/>
      <c r="CX294" s="26"/>
      <c r="CY294" s="26"/>
      <c r="CZ294" s="26"/>
    </row>
    <row r="295" ht="15.75" customHeight="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31"/>
      <c r="BC295" s="31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32"/>
      <c r="CS295" s="26"/>
      <c r="CT295" s="26"/>
      <c r="CU295" s="26"/>
      <c r="CV295" s="32"/>
      <c r="CW295" s="26"/>
      <c r="CX295" s="26"/>
      <c r="CY295" s="26"/>
      <c r="CZ295" s="26"/>
    </row>
    <row r="296" ht="15.75" customHeight="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31"/>
      <c r="BC296" s="31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32"/>
      <c r="CS296" s="26"/>
      <c r="CT296" s="26"/>
      <c r="CU296" s="26"/>
      <c r="CV296" s="32"/>
      <c r="CW296" s="26"/>
      <c r="CX296" s="26"/>
      <c r="CY296" s="26"/>
      <c r="CZ296" s="26"/>
    </row>
    <row r="297" ht="15.75" customHeight="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31"/>
      <c r="BC297" s="31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32"/>
      <c r="CS297" s="26"/>
      <c r="CT297" s="26"/>
      <c r="CU297" s="26"/>
      <c r="CV297" s="32"/>
      <c r="CW297" s="26"/>
      <c r="CX297" s="26"/>
      <c r="CY297" s="26"/>
      <c r="CZ297" s="26"/>
    </row>
    <row r="298" ht="15.75" customHeight="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31"/>
      <c r="BC298" s="31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32"/>
      <c r="CS298" s="26"/>
      <c r="CT298" s="26"/>
      <c r="CU298" s="26"/>
      <c r="CV298" s="32"/>
      <c r="CW298" s="26"/>
      <c r="CX298" s="26"/>
      <c r="CY298" s="26"/>
      <c r="CZ298" s="26"/>
    </row>
    <row r="299" ht="15.75" customHeight="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31"/>
      <c r="BC299" s="31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32"/>
      <c r="CS299" s="26"/>
      <c r="CT299" s="26"/>
      <c r="CU299" s="26"/>
      <c r="CV299" s="32"/>
      <c r="CW299" s="26"/>
      <c r="CX299" s="26"/>
      <c r="CY299" s="26"/>
      <c r="CZ299" s="26"/>
    </row>
    <row r="300" ht="15.75" customHeight="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31"/>
      <c r="BC300" s="31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32"/>
      <c r="CS300" s="26"/>
      <c r="CT300" s="26"/>
      <c r="CU300" s="26"/>
      <c r="CV300" s="32"/>
      <c r="CW300" s="26"/>
      <c r="CX300" s="26"/>
      <c r="CY300" s="26"/>
      <c r="CZ300" s="26"/>
    </row>
  </sheetData>
  <mergeCells count="36">
    <mergeCell ref="U1:V1"/>
    <mergeCell ref="U2:V2"/>
    <mergeCell ref="H4:J4"/>
    <mergeCell ref="K4:M4"/>
    <mergeCell ref="N4:P4"/>
    <mergeCell ref="Q4:S4"/>
    <mergeCell ref="T4:V4"/>
    <mergeCell ref="N22:R22"/>
    <mergeCell ref="N23:R23"/>
    <mergeCell ref="E4:G4"/>
    <mergeCell ref="E20:I20"/>
    <mergeCell ref="N20:R20"/>
    <mergeCell ref="E21:I21"/>
    <mergeCell ref="N21:R21"/>
    <mergeCell ref="E22:I22"/>
    <mergeCell ref="E23:I23"/>
    <mergeCell ref="E27:I27"/>
    <mergeCell ref="E28:I28"/>
    <mergeCell ref="E29:I29"/>
    <mergeCell ref="E30:I30"/>
    <mergeCell ref="E31:I31"/>
    <mergeCell ref="E82:I82"/>
    <mergeCell ref="E83:I83"/>
    <mergeCell ref="N28:R28"/>
    <mergeCell ref="N29:R29"/>
    <mergeCell ref="N30:R30"/>
    <mergeCell ref="N31:R31"/>
    <mergeCell ref="S82:W82"/>
    <mergeCell ref="S83:W83"/>
    <mergeCell ref="E24:I24"/>
    <mergeCell ref="N24:R24"/>
    <mergeCell ref="E25:I25"/>
    <mergeCell ref="N25:R25"/>
    <mergeCell ref="E26:I26"/>
    <mergeCell ref="N26:R26"/>
    <mergeCell ref="N27:R27"/>
  </mergeCells>
  <conditionalFormatting sqref="B7:Y17">
    <cfRule type="notContainsBlanks" dxfId="4" priority="1">
      <formula>LEN(TRIM(B7))&gt;0</formula>
    </cfRule>
  </conditionalFormatting>
  <conditionalFormatting sqref="B7:Y17">
    <cfRule type="cellIs" dxfId="5" priority="2" operator="greaterThan">
      <formula>0</formula>
    </cfRule>
  </conditionalFormatting>
  <conditionalFormatting sqref="B21:D30 K21:M21 K22:L30 M22:M31">
    <cfRule type="cellIs" dxfId="4" priority="3" operator="greaterThan">
      <formula>0</formula>
    </cfRule>
  </conditionalFormatting>
  <conditionalFormatting sqref="D7:D17 D21:D30 G7:G17 J7:J17 M7:M17 M21:M31 P7:P17 S7:S17 V7:V17 Y7:Y17">
    <cfRule type="cellIs" dxfId="6" priority="4" operator="greaterThan">
      <formula>0</formula>
    </cfRule>
  </conditionalFormatting>
  <conditionalFormatting sqref="B22">
    <cfRule type="notContainsBlanks" dxfId="4" priority="5">
      <formula>LEN(TRIM(B22))&gt;0</formula>
    </cfRule>
  </conditionalFormatting>
  <conditionalFormatting sqref="B22">
    <cfRule type="cellIs" dxfId="5" priority="6" operator="greaterThan">
      <formula>0</formula>
    </cfRule>
  </conditionalFormatting>
  <conditionalFormatting sqref="X7">
    <cfRule type="cellIs" dxfId="4" priority="7" operator="greaterThan">
      <formula>0</formula>
    </cfRule>
  </conditionalFormatting>
  <conditionalFormatting sqref="D31">
    <cfRule type="cellIs" dxfId="6" priority="8" operator="greaterThan">
      <formula>0</formula>
    </cfRule>
  </conditionalFormatting>
  <conditionalFormatting sqref="K31:L31">
    <cfRule type="cellIs" dxfId="4" priority="9" operator="greaterThan">
      <formula>0</formula>
    </cfRule>
  </conditionalFormatting>
  <conditionalFormatting sqref="B31:D31">
    <cfRule type="cellIs" dxfId="4" priority="10" operator="greaterThan">
      <formula>0</formula>
    </cfRule>
  </conditionalFormatting>
  <conditionalFormatting sqref="K31:L31">
    <cfRule type="cellIs" dxfId="4" priority="11" operator="greaterThan">
      <formula>0</formula>
    </cfRule>
  </conditionalFormatting>
  <conditionalFormatting sqref="B31:C31">
    <cfRule type="cellIs" dxfId="4" priority="12" operator="greaterThan">
      <formula>0</formula>
    </cfRule>
  </conditionalFormatting>
  <dataValidations>
    <dataValidation type="list" allowBlank="1" showErrorMessage="1" sqref="AY10">
      <formula1>hourminCLst</formula1>
    </dataValidation>
    <dataValidation type="list" allowBlank="1" showErrorMessage="1" sqref="AU5 AW5 Z5:Z16 Z18:Z24 N34:N41">
      <formula1>hour</formula1>
    </dataValidation>
    <dataValidation type="list" allowBlank="1" showErrorMessage="1" sqref="AV5 AX5 AA5:AA16 AA18:AA24">
      <formula1>min</formula1>
    </dataValidation>
  </dataValidations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002060"/>
    <pageSetUpPr fitToPage="1"/>
  </sheetPr>
  <sheetViews>
    <sheetView workbookViewId="0"/>
  </sheetViews>
  <sheetFormatPr customHeight="1" defaultColWidth="12.63" defaultRowHeight="15.0"/>
  <cols>
    <col customWidth="1" hidden="1" min="1" max="1" width="0.75"/>
    <col customWidth="1" min="2" max="2" width="0.63"/>
    <col customWidth="1" min="3" max="7" width="8.0"/>
    <col customWidth="1" min="8" max="8" width="8.13"/>
    <col customWidth="1" min="9" max="21" width="8.0"/>
    <col customWidth="1" min="22" max="22" width="7.13"/>
    <col customWidth="1" min="23" max="27" width="8.0"/>
    <col customWidth="1" min="28" max="28" width="6.5"/>
    <col customWidth="1" min="29" max="29" width="7.13"/>
    <col customWidth="1" min="30" max="30" width="7.88"/>
    <col customWidth="1" min="31" max="31" width="6.75"/>
    <col customWidth="1" min="32" max="32" width="7.25"/>
    <col customWidth="1" min="33" max="33" width="7.75"/>
    <col customWidth="1" min="34" max="34" width="8.13"/>
    <col customWidth="1" min="35" max="35" width="7.5"/>
    <col customWidth="1" min="36" max="36" width="6.75"/>
    <col customWidth="1" min="37" max="37" width="6.38"/>
    <col customWidth="1" min="38" max="38" width="7.88"/>
    <col customWidth="1" min="39" max="39" width="8.0"/>
    <col customWidth="1" min="40" max="40" width="9.0"/>
    <col customWidth="1" min="41" max="48" width="8.0"/>
  </cols>
  <sheetData>
    <row r="1" ht="6.75" hidden="1" customHeight="1">
      <c r="A1" s="199"/>
      <c r="B1" s="199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</row>
    <row r="2">
      <c r="A2" s="199"/>
      <c r="B2" s="199"/>
      <c r="C2" s="224" t="s">
        <v>177</v>
      </c>
      <c r="D2" s="225" t="s">
        <v>178</v>
      </c>
      <c r="E2" s="226"/>
      <c r="F2" s="225" t="s">
        <v>179</v>
      </c>
      <c r="G2" s="227"/>
      <c r="H2" s="227"/>
      <c r="I2" s="227"/>
      <c r="J2" s="226"/>
      <c r="K2" s="228" t="s">
        <v>180</v>
      </c>
      <c r="L2" s="229"/>
      <c r="M2" s="230"/>
      <c r="N2" s="4"/>
      <c r="O2" s="231" t="s">
        <v>181</v>
      </c>
      <c r="P2" s="232"/>
      <c r="Q2" s="230"/>
      <c r="R2" s="4"/>
      <c r="S2" s="233" t="s">
        <v>182</v>
      </c>
      <c r="T2" s="230"/>
      <c r="U2" s="4"/>
      <c r="V2" s="231" t="s">
        <v>183</v>
      </c>
      <c r="W2" s="232"/>
      <c r="X2" s="234"/>
      <c r="Y2" s="4"/>
      <c r="Z2" s="235" t="s">
        <v>12</v>
      </c>
      <c r="AA2" s="236" t="str">
        <f>VLOOKUP(Z2:Z3,DAILY!R3:T4,3,0)</f>
        <v>3rd</v>
      </c>
      <c r="AB2" s="25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</row>
    <row r="3">
      <c r="A3" s="237" t="s">
        <v>184</v>
      </c>
      <c r="B3" s="238" t="s">
        <v>0</v>
      </c>
      <c r="C3" s="239"/>
      <c r="D3" s="240"/>
      <c r="E3" s="207"/>
      <c r="F3" s="240"/>
      <c r="G3" s="206"/>
      <c r="H3" s="206"/>
      <c r="I3" s="206"/>
      <c r="J3" s="207"/>
      <c r="K3" s="228" t="s">
        <v>185</v>
      </c>
      <c r="L3" s="229"/>
      <c r="M3" s="241"/>
      <c r="N3" s="22"/>
      <c r="O3" s="228" t="s">
        <v>186</v>
      </c>
      <c r="P3" s="229"/>
      <c r="Q3" s="241"/>
      <c r="R3" s="22"/>
      <c r="S3" s="242" t="s">
        <v>187</v>
      </c>
      <c r="T3" s="241"/>
      <c r="U3" s="22"/>
      <c r="V3" s="228" t="s">
        <v>188</v>
      </c>
      <c r="W3" s="229"/>
      <c r="X3" s="243"/>
      <c r="Y3" s="22"/>
      <c r="Z3" s="244" t="s">
        <v>15</v>
      </c>
      <c r="AA3" s="245">
        <f>VLOOKUP(Z3:Z4,DAILY!R3:T4,3,0)</f>
        <v>46109</v>
      </c>
      <c r="AB3" s="25"/>
      <c r="AC3" s="26"/>
      <c r="AD3" s="24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</row>
    <row r="4">
      <c r="A4" s="247" t="str">
        <f>AA2</f>
        <v>3rd</v>
      </c>
      <c r="B4" s="248">
        <f>AA3</f>
        <v>46109</v>
      </c>
      <c r="C4" s="249"/>
      <c r="D4" s="250" t="s">
        <v>189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5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</row>
    <row r="5">
      <c r="A5" s="247" t="str">
        <f>AA2</f>
        <v>3rd</v>
      </c>
      <c r="B5" s="248">
        <f>AA3</f>
        <v>46109</v>
      </c>
      <c r="C5" s="251" t="s">
        <v>190</v>
      </c>
      <c r="D5" s="252" t="s">
        <v>191</v>
      </c>
      <c r="E5" s="252" t="s">
        <v>192</v>
      </c>
      <c r="F5" s="252" t="s">
        <v>193</v>
      </c>
      <c r="G5" s="253" t="s">
        <v>194</v>
      </c>
      <c r="H5" s="253" t="s">
        <v>195</v>
      </c>
      <c r="I5" s="254" t="s">
        <v>5</v>
      </c>
      <c r="J5" s="25"/>
      <c r="K5" s="254" t="s">
        <v>196</v>
      </c>
      <c r="L5" s="25"/>
      <c r="M5" s="254" t="s">
        <v>197</v>
      </c>
      <c r="N5" s="25"/>
      <c r="O5" s="254" t="s">
        <v>198</v>
      </c>
      <c r="P5" s="25"/>
      <c r="Q5" s="254" t="s">
        <v>199</v>
      </c>
      <c r="R5" s="25"/>
      <c r="S5" s="254" t="s">
        <v>200</v>
      </c>
      <c r="T5" s="25"/>
      <c r="U5" s="255">
        <v>78.0</v>
      </c>
      <c r="V5" s="25"/>
      <c r="W5" s="254">
        <v>612.0</v>
      </c>
      <c r="X5" s="25"/>
      <c r="Y5" s="254">
        <v>614.0</v>
      </c>
      <c r="Z5" s="25"/>
      <c r="AA5" s="254">
        <v>618.0</v>
      </c>
      <c r="AB5" s="25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</row>
    <row r="6">
      <c r="A6" s="247" t="str">
        <f>AA2</f>
        <v>3rd</v>
      </c>
      <c r="B6" s="248">
        <f>AA3</f>
        <v>46109</v>
      </c>
      <c r="C6" s="256" t="s">
        <v>190</v>
      </c>
      <c r="D6" s="257" t="s">
        <v>191</v>
      </c>
      <c r="E6" s="257" t="s">
        <v>192</v>
      </c>
      <c r="F6" s="257" t="s">
        <v>193</v>
      </c>
      <c r="G6" s="258" t="s">
        <v>194</v>
      </c>
      <c r="H6" s="258" t="s">
        <v>194</v>
      </c>
      <c r="I6" s="259" t="s">
        <v>55</v>
      </c>
      <c r="J6" s="260" t="s">
        <v>201</v>
      </c>
      <c r="K6" s="259" t="s">
        <v>55</v>
      </c>
      <c r="L6" s="260" t="s">
        <v>201</v>
      </c>
      <c r="M6" s="259" t="s">
        <v>55</v>
      </c>
      <c r="N6" s="260" t="s">
        <v>201</v>
      </c>
      <c r="O6" s="259" t="s">
        <v>55</v>
      </c>
      <c r="P6" s="260" t="s">
        <v>201</v>
      </c>
      <c r="Q6" s="259" t="s">
        <v>55</v>
      </c>
      <c r="R6" s="260" t="s">
        <v>201</v>
      </c>
      <c r="S6" s="259" t="s">
        <v>55</v>
      </c>
      <c r="T6" s="260" t="s">
        <v>201</v>
      </c>
      <c r="U6" s="261" t="s">
        <v>55</v>
      </c>
      <c r="V6" s="260" t="s">
        <v>201</v>
      </c>
      <c r="W6" s="259" t="s">
        <v>55</v>
      </c>
      <c r="X6" s="260" t="s">
        <v>201</v>
      </c>
      <c r="Y6" s="259" t="s">
        <v>55</v>
      </c>
      <c r="Z6" s="260" t="s">
        <v>201</v>
      </c>
      <c r="AA6" s="259" t="s">
        <v>55</v>
      </c>
      <c r="AB6" s="260" t="s">
        <v>201</v>
      </c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 t="s">
        <v>77</v>
      </c>
    </row>
    <row r="7">
      <c r="A7" s="247" t="str">
        <f>AA2</f>
        <v>3rd</v>
      </c>
      <c r="B7" s="248">
        <f>AA3</f>
        <v>46109</v>
      </c>
      <c r="C7" s="262">
        <f>IF(AA2="1st",TIME(7,0,0),IF(AA2="2nd",TIME(15,0,0),IF(AA2="3rd",TIME(23,0,0),"")))</f>
        <v>0.9583333333</v>
      </c>
      <c r="D7" s="263">
        <f t="shared" ref="D7:H7" si="1">IF(Y45=0,0,Y45)</f>
        <v>0</v>
      </c>
      <c r="E7" s="263">
        <f t="shared" si="1"/>
        <v>0</v>
      </c>
      <c r="F7" s="263">
        <f t="shared" si="1"/>
        <v>0</v>
      </c>
      <c r="G7" s="263">
        <f t="shared" si="1"/>
        <v>0</v>
      </c>
      <c r="H7" s="263">
        <f t="shared" si="1"/>
        <v>0</v>
      </c>
      <c r="I7" s="263">
        <f>IF(J7=0,0,J7)</f>
        <v>0</v>
      </c>
      <c r="J7" s="264">
        <f t="shared" ref="J7:J14" si="2">SUM(Y45:AC45)</f>
        <v>0</v>
      </c>
      <c r="K7" s="263">
        <f>IF(L7=0,0,L7)</f>
        <v>0</v>
      </c>
      <c r="L7" s="264">
        <f>IF(AND(D45&gt;E45,D45&lt;&gt;0),D45-MAX(D44,E45),IF(AND(D45&lt;E45,D45&lt;&gt;0),D45-D44,0))</f>
        <v>0</v>
      </c>
      <c r="M7" s="263">
        <f>IF(N7=0,0,N7)</f>
        <v>0</v>
      </c>
      <c r="N7" s="264">
        <f>IF(AND(E45&gt;D45,E45&lt;&gt;0),E45-MAX(D44:D45),IF(AND(E45&lt;D45,E45&lt;&gt;0),E45-D44,0))</f>
        <v>0</v>
      </c>
      <c r="O7" s="263">
        <f>IF(P7=0,0,P7)</f>
        <v>0</v>
      </c>
      <c r="P7" s="264">
        <f>IF(AND(F45&gt;G45,F45&lt;&gt;0),F45-MAX(F44,G45),IF(AND(F45&lt;G45,F45&lt;&gt;0),F45-F44,0))</f>
        <v>0</v>
      </c>
      <c r="Q7" s="263">
        <f>IF(R7=0,0,R7)</f>
        <v>0</v>
      </c>
      <c r="R7" s="264">
        <f>IF(AND(G45&gt;F45,G45&lt;&gt;0),G45-MAX(F44:F45),IF(AND(G45&lt;F45,G45&lt;&gt;0),G45-F44,0))</f>
        <v>0</v>
      </c>
      <c r="S7" s="263">
        <f>IF(T7=0,0,T7)</f>
        <v>0</v>
      </c>
      <c r="T7" s="264">
        <f>IF(AND(H45&gt;H44,H45&lt;&gt;0),H45-H44,0)</f>
        <v>0</v>
      </c>
      <c r="U7" s="265">
        <f>IF(V7=0,0,V7)</f>
        <v>0</v>
      </c>
      <c r="V7" s="264">
        <f t="shared" ref="V7:V14" si="3">IF(J7&gt;SUM(L7,N7,P7,R7,T7),IF(R45=0,SUM(J7,-L7,-N7,-P7,-R7,-T7),IF(R45&lt;&gt;0,SUM(MROUND(J7*(1-R45),10),-L7,-N7,-P7,-R7,-T7),0)),0)</f>
        <v>0</v>
      </c>
      <c r="W7" s="263">
        <v>0.0</v>
      </c>
      <c r="X7" s="264">
        <f>W7</f>
        <v>0</v>
      </c>
      <c r="Y7" s="263">
        <f>IF(Z7=0,0,Z7)</f>
        <v>0</v>
      </c>
      <c r="Z7" s="264">
        <f t="shared" ref="Z7:Z14" si="4">MROUND(L7*0.8,10)</f>
        <v>0</v>
      </c>
      <c r="AA7" s="263">
        <f>IF(AB7=0,0,AB7)</f>
        <v>0</v>
      </c>
      <c r="AB7" s="264">
        <f t="shared" ref="AB7:AB14" si="5">SUM(L7,-Z7)</f>
        <v>0</v>
      </c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</row>
    <row r="8">
      <c r="A8" s="247" t="str">
        <f>AA2</f>
        <v>3rd</v>
      </c>
      <c r="B8" s="248">
        <f>AA3</f>
        <v>46109</v>
      </c>
      <c r="C8" s="262">
        <f t="shared" ref="C8:C14" si="6">IF(C7="","",SUM(C7,TIME(1,0,0)))</f>
        <v>1</v>
      </c>
      <c r="D8" s="263">
        <f t="shared" ref="D8:D14" si="7">IF(Y46&gt;0,SUM($Y$45:Y46),IF(AND(Y46=0,OR(MAX($Y47:Y$52)&gt;0,K8&gt;0)),MAX($D$7:D7),0))</f>
        <v>0</v>
      </c>
      <c r="E8" s="263">
        <f t="shared" ref="E8:E14" si="8">IF(Z46&gt;0,SUM($Z$45:Z46),IF(AND(Z46=0,OR(MAX($Z47:Z$52)&gt;0,K8&gt;0)),MAX($E$7:E7),0))</f>
        <v>0</v>
      </c>
      <c r="F8" s="263">
        <f t="shared" ref="F8:F14" si="9">IF(AA46&gt;0,SUM($AA$45:AA46),IF(AND(AA46=0,OR(MAX($AA47:AA$52)&gt;0,K8&gt;0)),MAX($F$7:F7),0))</f>
        <v>0</v>
      </c>
      <c r="G8" s="263">
        <f t="shared" ref="G8:G14" si="10">IF(AB46&gt;0,SUM($AB$45:AB46),IF(AND(AB46=0,OR(MAX($AB47:AB$52)&gt;0,K8&gt;0)),MAX($G$7:G7),0))</f>
        <v>0</v>
      </c>
      <c r="H8" s="263">
        <f t="shared" ref="H8:H14" si="11">IF(AC46&gt;0,SUM($AC$45:AC46),IF(AND(AC46=0,OR(MAX($AC47:AC$52)&gt;0,L8&gt;0)),MAX($H$7:H7),0))</f>
        <v>0</v>
      </c>
      <c r="I8" s="263">
        <f>IF(J8&gt;0,SUM(J7:J8),IF(AND(J8=0,MAX(J9:J14)&gt;0),MAX(I7),0))</f>
        <v>0</v>
      </c>
      <c r="J8" s="264">
        <f t="shared" si="2"/>
        <v>0</v>
      </c>
      <c r="K8" s="263">
        <f>IF(L8&gt;0,SUM(L7:L8),IF(AND(L8=0,MAX(L9:L14)&gt;0),MAX(K7),0))</f>
        <v>0</v>
      </c>
      <c r="L8" s="264">
        <f>IF(AND(D46&gt;E46,D46&lt;&gt;0),D46-MAX(D44:D45,E45:E46),IF(AND(D46&lt;E46,D46&lt;&gt;0),D46-MAX(D44:D45,E45),0))</f>
        <v>0</v>
      </c>
      <c r="M8" s="263">
        <f>IF(N8&gt;0,SUM(N7:N8),IF(AND(N8=0,MAX(N9:N14)&gt;0),MAX(M7),0))</f>
        <v>0</v>
      </c>
      <c r="N8" s="264">
        <f>IF(AND(E46&gt;D46,E46&lt;&gt;0),E46-MAX(E45,D44:D46),IF(AND(E46&lt;D46,E46&lt;&gt;0),E46-MAX(E45,D45),0))</f>
        <v>0</v>
      </c>
      <c r="O8" s="263">
        <f>IF(P8&gt;0,SUM(P7:P8),IF(AND(P8=0,MAX(P9:P14)&gt;0),MAX(O7),0))</f>
        <v>0</v>
      </c>
      <c r="P8" s="264">
        <f>IF(AND(F46&gt;G46,F46&lt;&gt;0),F46-MAX(F44:F45,G45:G46),IF(AND(F46&lt;G46,F46&lt;&gt;0),F46-MAX(F44:F45,G45),0))</f>
        <v>0</v>
      </c>
      <c r="Q8" s="263">
        <f>IF(R8&gt;0,SUM(R7:R8),IF(AND(R8=0,MAX(R9:R14)&gt;0),MAX(Q7),0))</f>
        <v>0</v>
      </c>
      <c r="R8" s="264">
        <f>IF(AND(G46&gt;F46,G46&lt;&gt;0),G46-MAX(G45,F44:F46),IF(AND(G46&lt;F46,G46&lt;&gt;0),G46-MAX(G45,F45),0))</f>
        <v>0</v>
      </c>
      <c r="S8" s="263">
        <f>IF(T8&gt;0,SUM(T7:T8),IF(AND(T8=0,MAX(T9:T14)&gt;0),MAX(S7),0))</f>
        <v>0</v>
      </c>
      <c r="T8" s="264">
        <f>IF(AND(H46&gt;H45,H46&lt;&gt;0),H46-MAX(H44:H45),0)</f>
        <v>0</v>
      </c>
      <c r="U8" s="265">
        <f>IF(V8&gt;0,SUM(V7:V8),IF(AND(V8=0,MAX(V9:V14)&gt;0),MAX(U7),0))</f>
        <v>0</v>
      </c>
      <c r="V8" s="264">
        <f t="shared" si="3"/>
        <v>0</v>
      </c>
      <c r="W8" s="263">
        <v>0.0</v>
      </c>
      <c r="X8" s="264">
        <f t="shared" ref="X8:X14" si="12">IF(W8&gt;W7,W8-W7,0)</f>
        <v>0</v>
      </c>
      <c r="Y8" s="263">
        <f>IF(Z8&gt;0,SUM(Z7:Z8),IF(AND(Z8=0,MAX(Z9:Z14)&gt;0),MAX(Y7),0))</f>
        <v>0</v>
      </c>
      <c r="Z8" s="264">
        <f t="shared" si="4"/>
        <v>0</v>
      </c>
      <c r="AA8" s="263">
        <f>IF(AB8&gt;0,SUM(AB7:AB8),IF(AND(AB8=0,MAX(AB9:AB14)&gt;0),MAX(AA7),0))</f>
        <v>0</v>
      </c>
      <c r="AB8" s="264">
        <f t="shared" si="5"/>
        <v>0</v>
      </c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</row>
    <row r="9">
      <c r="A9" s="247" t="str">
        <f>AA2</f>
        <v>3rd</v>
      </c>
      <c r="B9" s="248">
        <f>AA3</f>
        <v>46109</v>
      </c>
      <c r="C9" s="262">
        <f t="shared" si="6"/>
        <v>1.041666667</v>
      </c>
      <c r="D9" s="263">
        <f t="shared" si="7"/>
        <v>0</v>
      </c>
      <c r="E9" s="263">
        <f t="shared" si="8"/>
        <v>0</v>
      </c>
      <c r="F9" s="263">
        <f t="shared" si="9"/>
        <v>0</v>
      </c>
      <c r="G9" s="263">
        <f t="shared" si="10"/>
        <v>0</v>
      </c>
      <c r="H9" s="263">
        <f t="shared" si="11"/>
        <v>0</v>
      </c>
      <c r="I9" s="263">
        <f>IF(J9&gt;0,SUM(J7:J9),IF(AND(J9=0,MAX(J10:J14)&gt;0),MAX(I7:I8),0))</f>
        <v>0</v>
      </c>
      <c r="J9" s="264">
        <f t="shared" si="2"/>
        <v>0</v>
      </c>
      <c r="K9" s="263">
        <f>IF(L9&gt;0,SUM(L7:L9),IF(AND(L9=0,MAX(L10:L14)&gt;0),MAX(K7:K8),0))</f>
        <v>0</v>
      </c>
      <c r="L9" s="264">
        <f>IF(AND(D47&gt;E47,D47&lt;&gt;0),D47-MAX(D44:D46,E45:E47),IF(AND(D47&lt;E47,D47&lt;&gt;0),D47-MAX(D44:D46,E45:E46),0))</f>
        <v>0</v>
      </c>
      <c r="M9" s="263">
        <f>IF(N9&gt;0,SUM(N7:N9),IF(AND(N9=0,MAX(N10:N14)&gt;0),MAX(M7:M8),0))</f>
        <v>0</v>
      </c>
      <c r="N9" s="264">
        <f t="shared" ref="N9:N10" si="13">IF(AND(E47&gt;D47,E47&lt;&gt;0),E47-MAX(E45:E46,D44:D47),IF(AND(E47&lt;D47,E47&lt;&gt;0),E47-MAX(E45:E46,D44:D46),0))</f>
        <v>0</v>
      </c>
      <c r="O9" s="263">
        <f>IF(P9&gt;0,SUM(P7:P9),IF(AND(P9=0,MAX(P10:P14)&gt;0),MAX(O7:O8),0))</f>
        <v>0</v>
      </c>
      <c r="P9" s="264">
        <f>IF(AND(F47&gt;G47,F47&lt;&gt;0),F47-MAX(F44:F46,G45:G47),IF(AND(F47&lt;G47,F47&lt;&gt;0),F47-MAX(F44:F46,G45:G46),0))</f>
        <v>0</v>
      </c>
      <c r="Q9" s="263">
        <f>IF(R9&gt;0,SUM(R7:R9),IF(AND(R9=0,MAX(R10:R14)&gt;0),MAX(Q7:Q8),0))</f>
        <v>0</v>
      </c>
      <c r="R9" s="264">
        <f>IF(AND(G47&gt;F47,G47&lt;&gt;0),G47-MAX(G45:G46,F44:F47),IF(AND(G47&lt;F47,G47&lt;&gt;0),G47-MAX(G45:G46,F44:F46),0))</f>
        <v>0</v>
      </c>
      <c r="S9" s="263">
        <f>IF(T9&gt;0,SUM(T7:T9),IF(AND(T9=0,MAX(T10:T14)&gt;0),MAX(S7:S8),0))</f>
        <v>0</v>
      </c>
      <c r="T9" s="264">
        <f>IF(AND(H47&gt;H46,H47&lt;&gt;0),H47-MAX(H44:H46),0)</f>
        <v>0</v>
      </c>
      <c r="U9" s="265">
        <f>IF(V9&gt;0,SUM(V7:V9),IF(AND(V9=0,MAX(V10:V14)&gt;0),MAX(U7:U8),0))</f>
        <v>0</v>
      </c>
      <c r="V9" s="264">
        <f t="shared" si="3"/>
        <v>0</v>
      </c>
      <c r="W9" s="263">
        <v>0.0</v>
      </c>
      <c r="X9" s="264">
        <f t="shared" si="12"/>
        <v>0</v>
      </c>
      <c r="Y9" s="263">
        <f>IF(Z9&gt;0,SUM(Z7:Z9),IF(AND(Z9=0,MAX(Z10:Z14)&gt;0),MAX(Y7:Y8),0))</f>
        <v>0</v>
      </c>
      <c r="Z9" s="264">
        <f t="shared" si="4"/>
        <v>0</v>
      </c>
      <c r="AA9" s="263">
        <f>IF(AB9&gt;0,SUM(AB7:AB9),IF(AND(AB9=0,MAX(AB10:AB14)&gt;0),MAX(AA7:AA8),0))</f>
        <v>0</v>
      </c>
      <c r="AB9" s="264">
        <f t="shared" si="5"/>
        <v>0</v>
      </c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</row>
    <row r="10">
      <c r="A10" s="247" t="str">
        <f>AA2</f>
        <v>3rd</v>
      </c>
      <c r="B10" s="248">
        <f>AA3</f>
        <v>46109</v>
      </c>
      <c r="C10" s="262">
        <f t="shared" si="6"/>
        <v>1.083333333</v>
      </c>
      <c r="D10" s="263">
        <f t="shared" si="7"/>
        <v>0</v>
      </c>
      <c r="E10" s="263">
        <f t="shared" si="8"/>
        <v>0</v>
      </c>
      <c r="F10" s="263">
        <f t="shared" si="9"/>
        <v>0</v>
      </c>
      <c r="G10" s="263">
        <f t="shared" si="10"/>
        <v>0</v>
      </c>
      <c r="H10" s="263">
        <f t="shared" si="11"/>
        <v>0</v>
      </c>
      <c r="I10" s="263">
        <f>IF(J10&gt;0,SUM(J7:J10),IF(AND(J10=0,MAX(J11:J14)&gt;0),MAX(I7:I9),0))</f>
        <v>0</v>
      </c>
      <c r="J10" s="264">
        <f t="shared" si="2"/>
        <v>0</v>
      </c>
      <c r="K10" s="263">
        <f>IF(L10&gt;0,SUM(L7:L10),IF(AND(L10=0,MAX(L11:L14)&gt;0),MAX(K7:K9),0))</f>
        <v>0</v>
      </c>
      <c r="L10" s="264">
        <f>IF(AND(D48&gt;E48,D48&lt;&gt;0),D48-MAX(D44:D47,E45:E48),IF(AND(D48&lt;E48,D48&lt;&gt;0),D48-MAX(D44:D47,E45:E47),0))</f>
        <v>0</v>
      </c>
      <c r="M10" s="263">
        <f>IF(N10&gt;0,SUM(N7:N10),IF(AND(N10=0,MAX(N11:N14)&gt;0),MAX(M7:M9),0))</f>
        <v>0</v>
      </c>
      <c r="N10" s="264">
        <f t="shared" si="13"/>
        <v>0</v>
      </c>
      <c r="O10" s="263">
        <f>IF(P10&gt;0,SUM(P7:P10),IF(AND(P10=0,MAX(P11:P14)&gt;0),MAX(O7:O9),0))</f>
        <v>0</v>
      </c>
      <c r="P10" s="264">
        <f>IF(AND(F48&gt;G48,F48&lt;&gt;0),F48-MAX(F44:F47,G45:G48),IF(AND(F48&lt;G48,F48&lt;&gt;0),F48-MAX(F44:F47,G45:G47),0))</f>
        <v>0</v>
      </c>
      <c r="Q10" s="263">
        <f>IF(R10&gt;0,SUM(R7:R10),IF(AND(R10=0,MAX(R11:R14)&gt;0),MAX(Q7:Q9),0))</f>
        <v>0</v>
      </c>
      <c r="R10" s="264">
        <f>IF(AND(G48&gt;F48,G48&lt;&gt;0),G48-MAX(G45:G47,F44:F48),IF(AND(G48&lt;F48,G48&lt;&gt;0),G48-MAX(G45:G47,F44:F47),0))</f>
        <v>0</v>
      </c>
      <c r="S10" s="263">
        <f>IF(T10&gt;0,SUM(T7:T10),IF(AND(T10=0,MAX(T11:T14)&gt;0),MAX(S7:S9),0))</f>
        <v>0</v>
      </c>
      <c r="T10" s="264">
        <f>IF(AND(H48&gt;H47,H48&lt;&gt;0),H48-MAX(H44:H47),0)</f>
        <v>0</v>
      </c>
      <c r="U10" s="265">
        <f>IF(V10&gt;0,SUM(V7:V10),IF(AND(V10=0,MAX(V11:V14)&gt;0),MAX(U7:U9),0))</f>
        <v>0</v>
      </c>
      <c r="V10" s="264">
        <f t="shared" si="3"/>
        <v>0</v>
      </c>
      <c r="W10" s="263">
        <v>0.0</v>
      </c>
      <c r="X10" s="264">
        <f t="shared" si="12"/>
        <v>0</v>
      </c>
      <c r="Y10" s="263">
        <f>IF(Z10&gt;0,SUM(Z7:Z10),IF(AND(Z10=0,MAX(Z11:Z14)&gt;0),MAX(Y7:Y9),0))</f>
        <v>0</v>
      </c>
      <c r="Z10" s="264">
        <f t="shared" si="4"/>
        <v>0</v>
      </c>
      <c r="AA10" s="263">
        <f>IF(AB10&gt;0,SUM(AB7:AB10),IF(AND(AB10=0,MAX(AB11:AB14)&gt;0),MAX(AA7:AA9),0))</f>
        <v>0</v>
      </c>
      <c r="AB10" s="264">
        <f t="shared" si="5"/>
        <v>0</v>
      </c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</row>
    <row r="11">
      <c r="A11" s="247" t="str">
        <f>AA2</f>
        <v>3rd</v>
      </c>
      <c r="B11" s="248">
        <f>AA3</f>
        <v>46109</v>
      </c>
      <c r="C11" s="262">
        <f t="shared" si="6"/>
        <v>1.125</v>
      </c>
      <c r="D11" s="263">
        <f t="shared" si="7"/>
        <v>0</v>
      </c>
      <c r="E11" s="263">
        <f t="shared" si="8"/>
        <v>0</v>
      </c>
      <c r="F11" s="263">
        <f t="shared" si="9"/>
        <v>0</v>
      </c>
      <c r="G11" s="263">
        <f t="shared" si="10"/>
        <v>0</v>
      </c>
      <c r="H11" s="263">
        <f t="shared" si="11"/>
        <v>0</v>
      </c>
      <c r="I11" s="263">
        <f>IF(J11&gt;0,SUM(J7:J11),IF(AND(J11=0,MAX(J12:J14)&gt;0),MAX(I7:I10),0))</f>
        <v>0</v>
      </c>
      <c r="J11" s="264">
        <f t="shared" si="2"/>
        <v>0</v>
      </c>
      <c r="K11" s="263">
        <f>IF(L11&gt;0,SUM(L7:L11),IF(AND(L11=0,MAX(L12:L14)&gt;0),MAX(K7:K10),0))</f>
        <v>0</v>
      </c>
      <c r="L11" s="264">
        <f>IF(AND(D49&gt;E49,D49&lt;&gt;0),D49-MAX(D44:D48,E45:E49),IF(AND(D49&lt;E49,D49&lt;&gt;0),D49-MAX(D44:D48,E45:E48),0))</f>
        <v>0</v>
      </c>
      <c r="M11" s="263">
        <f>IF(N11&gt;0,SUM(N7:N11),IF(AND(N11=0,MAX(N12:N14)&gt;0),MAX(M7:M10),0))</f>
        <v>0</v>
      </c>
      <c r="N11" s="264">
        <f>IF(AND(E49&gt;D49,E49&lt;&gt;0),E49-MAX(E45:E48,D44:D49),IF(AND(E49&lt;D49,E49&lt;&gt;0),E49-MAX(E45:E48,D44:D48),0))</f>
        <v>0</v>
      </c>
      <c r="O11" s="263">
        <f>IF(P11&gt;0,SUM(P7:P11),IF(AND(P11=0,MAX(P12:P14)&gt;0),MAX(O7:O10),0))</f>
        <v>0</v>
      </c>
      <c r="P11" s="264">
        <f>IF(AND(F49&gt;G49,F49&lt;&gt;0),F49-MAX(F44:F48,G45:G49),IF(AND(F49&lt;G49,F49&lt;&gt;0),F49-MAX(F44:F48,G45:G48),0))</f>
        <v>0</v>
      </c>
      <c r="Q11" s="263">
        <f>IF(R11&gt;0,SUM(R7:R11),IF(AND(R11=0,MAX(R12:R14)&gt;0),MAX(Q7:Q10),0))</f>
        <v>0</v>
      </c>
      <c r="R11" s="264">
        <f>IF(AND(G49&gt;F49,G49&lt;&gt;0),G49-MAX(G45:G48,F44:F49),IF(AND(G49&lt;F49,G49&lt;&gt;0),G49-MAX(G45:G48,F44:F48),0))</f>
        <v>0</v>
      </c>
      <c r="S11" s="263">
        <f>IF(T11&gt;0,SUM(T7:T11),IF(AND(T11=0,MAX(T12:T14)&gt;0),MAX(S7:S10),0))</f>
        <v>0</v>
      </c>
      <c r="T11" s="264">
        <f>IF(AND(H49&gt;H48,H49&lt;&gt;0),H49-MAX(H44:H48),0)</f>
        <v>0</v>
      </c>
      <c r="U11" s="265">
        <f>IF(V11&gt;0,SUM(V7:V11),IF(AND(V11=0,MAX(V12:V14)&gt;0),MAX(U7:U10),0))</f>
        <v>0</v>
      </c>
      <c r="V11" s="264">
        <f t="shared" si="3"/>
        <v>0</v>
      </c>
      <c r="W11" s="263">
        <v>0.0</v>
      </c>
      <c r="X11" s="264">
        <f t="shared" si="12"/>
        <v>0</v>
      </c>
      <c r="Y11" s="263">
        <f>IF(Z11&gt;0,SUM(Z7:Z11),IF(AND(Z11=0,MAX(Z12:Z14)&gt;0),MAX(Y7:Y10),0))</f>
        <v>0</v>
      </c>
      <c r="Z11" s="264">
        <f t="shared" si="4"/>
        <v>0</v>
      </c>
      <c r="AA11" s="263">
        <f>IF(AB11&gt;0,SUM(AB7:AB11),IF(AND(AB11=0,MAX(AB12:AB14)&gt;0),MAX(AA7:AA10),0))</f>
        <v>0</v>
      </c>
      <c r="AB11" s="264">
        <f t="shared" si="5"/>
        <v>0</v>
      </c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</row>
    <row r="12">
      <c r="A12" s="247" t="str">
        <f>AA2</f>
        <v>3rd</v>
      </c>
      <c r="B12" s="248">
        <f>AA3</f>
        <v>46109</v>
      </c>
      <c r="C12" s="262">
        <f t="shared" si="6"/>
        <v>1.166666667</v>
      </c>
      <c r="D12" s="263">
        <f t="shared" si="7"/>
        <v>0</v>
      </c>
      <c r="E12" s="263">
        <f t="shared" si="8"/>
        <v>0</v>
      </c>
      <c r="F12" s="263">
        <f t="shared" si="9"/>
        <v>0</v>
      </c>
      <c r="G12" s="263">
        <f t="shared" si="10"/>
        <v>0</v>
      </c>
      <c r="H12" s="263">
        <f t="shared" si="11"/>
        <v>0</v>
      </c>
      <c r="I12" s="263">
        <f>IF(J12&gt;0,SUM(J7:J12),IF(AND(J12=0,MAX(J13:J14)&gt;0),MAX(I7:I11),0))</f>
        <v>0</v>
      </c>
      <c r="J12" s="264">
        <f t="shared" si="2"/>
        <v>0</v>
      </c>
      <c r="K12" s="263">
        <f>IF(L12&gt;0,SUM(L7:L12),IF(AND(L12=0,MAX(L13:L14)&gt;0),MAX(K7:K11),0))</f>
        <v>0</v>
      </c>
      <c r="L12" s="264">
        <f>IF(AND(D50&gt;E50,D50&lt;&gt;0),D50-MAX(D44:D49,E45:E50),IF(AND(D50&lt;E50,D50&lt;&gt;0),D50-MAX(D44:D49,E45:E49),0))</f>
        <v>0</v>
      </c>
      <c r="M12" s="263">
        <f>IF(N12&gt;0,SUM(N7:N12),IF(AND(N12=0,MAX(N13:N14)&gt;0),MAX(M7:M11),0))</f>
        <v>0</v>
      </c>
      <c r="N12" s="264">
        <f>IF(AND(E50&gt;D50,E50&lt;&gt;0),E50-MAX(E45:E49,D44:D50),IF(AND(E50&lt;D50,E50&lt;&gt;0),E50-MAX(E45:E49,D44:D49),0))</f>
        <v>0</v>
      </c>
      <c r="O12" s="263">
        <f>IF(P12&gt;0,SUM(P7:P12),IF(AND(P12=0,MAX(P13:P14)&gt;0),MAX(O7:O11),0))</f>
        <v>0</v>
      </c>
      <c r="P12" s="264">
        <f>IF(AND(F50&gt;G50,F50&lt;&gt;0),F50-MAX(F44:F49,G45:G50),IF(AND(F50&lt;G50,F50&lt;&gt;0),F50-MAX(F44:F49,G45:G49),0))</f>
        <v>0</v>
      </c>
      <c r="Q12" s="263">
        <f>IF(R12&gt;0,SUM(R7:R12),IF(AND(R12=0,MAX(R13:R14)&gt;0),MAX(Q7:Q11),0))</f>
        <v>0</v>
      </c>
      <c r="R12" s="264">
        <f>IF(AND(G50&gt;F50,G50&lt;&gt;0),G50-MAX(G45:G49,F44:F50),IF(AND(G50&lt;F50,G50&lt;&gt;0),G50-MAX(G45:G49,F44:F49),0))</f>
        <v>0</v>
      </c>
      <c r="S12" s="263">
        <f>IF(T12&gt;0,SUM(T7:T12),IF(AND(T12=0,MAX(T13:T14)&gt;0),MAX(S7:S11),0))</f>
        <v>0</v>
      </c>
      <c r="T12" s="264">
        <f>IF(AND(H50&gt;H49,H50&lt;&gt;0),H50-MAX(H44:H49),0)</f>
        <v>0</v>
      </c>
      <c r="U12" s="265">
        <f>IF(V12&gt;0,SUM(V7:V12),IF(AND(V12=0,MAX(V13:V14)&gt;0),MAX(U7:U11),0))</f>
        <v>0</v>
      </c>
      <c r="V12" s="264">
        <f t="shared" si="3"/>
        <v>0</v>
      </c>
      <c r="W12" s="263">
        <v>0.0</v>
      </c>
      <c r="X12" s="264">
        <f t="shared" si="12"/>
        <v>0</v>
      </c>
      <c r="Y12" s="263">
        <f>IF(Z12&gt;0,SUM(Z7:Z12),IF(AND(Z12=0,MAX(Z13:Z14)&gt;0),MAX(Y7:Y11),0))</f>
        <v>0</v>
      </c>
      <c r="Z12" s="264">
        <f t="shared" si="4"/>
        <v>0</v>
      </c>
      <c r="AA12" s="263">
        <f>IF(AB12&gt;0,SUM(AB7:AB12),IF(AND(AB12=0,MAX(AB13:AB14)&gt;0),MAX(AA7:AA11),0))</f>
        <v>0</v>
      </c>
      <c r="AB12" s="264">
        <f t="shared" si="5"/>
        <v>0</v>
      </c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</row>
    <row r="13">
      <c r="A13" s="247" t="str">
        <f>AA2</f>
        <v>3rd</v>
      </c>
      <c r="B13" s="248">
        <f>AA3</f>
        <v>46109</v>
      </c>
      <c r="C13" s="262">
        <f t="shared" si="6"/>
        <v>1.208333333</v>
      </c>
      <c r="D13" s="263">
        <f t="shared" si="7"/>
        <v>0</v>
      </c>
      <c r="E13" s="263">
        <f t="shared" si="8"/>
        <v>0</v>
      </c>
      <c r="F13" s="263">
        <f t="shared" si="9"/>
        <v>0</v>
      </c>
      <c r="G13" s="263">
        <f t="shared" si="10"/>
        <v>0</v>
      </c>
      <c r="H13" s="263">
        <f t="shared" si="11"/>
        <v>0</v>
      </c>
      <c r="I13" s="263">
        <f>IF(J13&gt;0,SUM(J7:J13),IF(AND(J13=0,MAX(J14)&gt;0),MAX(I7:I12),0))</f>
        <v>0</v>
      </c>
      <c r="J13" s="264">
        <f t="shared" si="2"/>
        <v>0</v>
      </c>
      <c r="K13" s="263">
        <f>IF(L13&gt;0,SUM(L7:L13),IF(AND(L13=0,MAX(L14)&gt;0),MAX(K7:K12),0))</f>
        <v>0</v>
      </c>
      <c r="L13" s="264">
        <f>IF(AND(D51&gt;E51,D51&lt;&gt;0),D51-MAX(D44:D50,E45:E51),IF(AND(D51&lt;E51,D51&lt;&gt;0),D51-MAX(D44:D50,E45:E50),0))</f>
        <v>0</v>
      </c>
      <c r="M13" s="263">
        <f>IF(N13&gt;0,SUM(N7:N13),IF(AND(N13=0,MAX(N14)&gt;0),MAX(M7:M12),0))</f>
        <v>0</v>
      </c>
      <c r="N13" s="264">
        <f>IF(AND(E51&gt;D51,E51&lt;&gt;0),E51-MAX(E45:E50,D44:D51),IF(AND(E51&lt;D51,E51&lt;&gt;0),E51-MAX(E45:E50,D44:D50),0))</f>
        <v>0</v>
      </c>
      <c r="O13" s="263">
        <f>IF(P13&gt;0,SUM(P7:P13),IF(AND(P13=0,MAX(P14)&gt;0),MAX(O7:O12),0))</f>
        <v>0</v>
      </c>
      <c r="P13" s="264">
        <f>IF(AND(F51&gt;G51,F51&lt;&gt;0),F51-MAX(F44:F50,G45:G51),IF(AND(F51&lt;G51,F51&lt;&gt;0),F51-MAX(F44:F50,G45:G50),0))</f>
        <v>0</v>
      </c>
      <c r="Q13" s="263">
        <f>IF(R13&gt;0,SUM(R7:R13),IF(AND(R13=0,MAX(R14)&gt;0),MAX(Q7:Q12),0))</f>
        <v>0</v>
      </c>
      <c r="R13" s="264">
        <f>IF(AND(G51&gt;F51,G51&lt;&gt;0),G51-MAX(G45:G50,F44:F51),IF(AND(G51&lt;F51,G51&lt;&gt;0),G51-MAX(G45:G50,F44:F50),0))</f>
        <v>0</v>
      </c>
      <c r="S13" s="263">
        <f>IF(T13&gt;0,SUM(T7:T13),IF(AND(T13=0,MAX(T14)&gt;0),MAX(S7:S12),0))</f>
        <v>0</v>
      </c>
      <c r="T13" s="264">
        <f>IF(AND(H51&gt;H50,H51&lt;&gt;0),H51-MAX(H44:H50),0)</f>
        <v>0</v>
      </c>
      <c r="U13" s="265">
        <f>IF(V13&gt;0,SUM(V7:V13),IF(AND(V13=0,MAX(V14)&gt;0),MAX(U7:U12),0))</f>
        <v>0</v>
      </c>
      <c r="V13" s="264">
        <f t="shared" si="3"/>
        <v>0</v>
      </c>
      <c r="W13" s="263">
        <v>0.0</v>
      </c>
      <c r="X13" s="264">
        <f t="shared" si="12"/>
        <v>0</v>
      </c>
      <c r="Y13" s="263">
        <f>IF(Z13&gt;0,SUM(Z7:Z13),IF(AND(Z13=0,MAX(Z14)&gt;0),MAX(Y7:Y12),0))</f>
        <v>0</v>
      </c>
      <c r="Z13" s="264">
        <f t="shared" si="4"/>
        <v>0</v>
      </c>
      <c r="AA13" s="263">
        <f>IF(AB13&gt;0,SUM(AB7:AB13),IF(AND(AB13=0,MAX(AB14)&gt;0),MAX(AA7:AA12),0))</f>
        <v>0</v>
      </c>
      <c r="AB13" s="264">
        <f t="shared" si="5"/>
        <v>0</v>
      </c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</row>
    <row r="14">
      <c r="A14" s="247" t="str">
        <f>AA2</f>
        <v>3rd</v>
      </c>
      <c r="B14" s="248">
        <f>AA3</f>
        <v>46109</v>
      </c>
      <c r="C14" s="262">
        <f t="shared" si="6"/>
        <v>1.25</v>
      </c>
      <c r="D14" s="263">
        <f t="shared" si="7"/>
        <v>0</v>
      </c>
      <c r="E14" s="263">
        <f t="shared" si="8"/>
        <v>0</v>
      </c>
      <c r="F14" s="263">
        <f t="shared" si="9"/>
        <v>0</v>
      </c>
      <c r="G14" s="263">
        <f t="shared" si="10"/>
        <v>0</v>
      </c>
      <c r="H14" s="263">
        <f t="shared" si="11"/>
        <v>0</v>
      </c>
      <c r="I14" s="263">
        <f>IF(J14&gt;0,SUM(J7:J14),0)</f>
        <v>0</v>
      </c>
      <c r="J14" s="264">
        <f t="shared" si="2"/>
        <v>0</v>
      </c>
      <c r="K14" s="263">
        <f>IF(L14&gt;0,SUM(L7:L14),0)</f>
        <v>0</v>
      </c>
      <c r="L14" s="264">
        <f>IF(AND(D52&gt;E52,D52&lt;&gt;0),D52-MAX(D44:D51,E45:E52),IF(AND(D52&lt;E52,D52&lt;&gt;0),D52-MAX(D44:D51,E45:E51),0))</f>
        <v>0</v>
      </c>
      <c r="M14" s="263">
        <f>IF(N14&gt;0,SUM(N7:N14),0)</f>
        <v>0</v>
      </c>
      <c r="N14" s="264">
        <f>IF(AND(E52&gt;D52,E52&lt;&gt;0),E52-MAX(E45:E51,D44:D52),IF(AND(E52&lt;D52,E52&lt;&gt;0),E52-MAX(E45:E51,D44:D51),0))</f>
        <v>0</v>
      </c>
      <c r="O14" s="263">
        <f>IF(P14&gt;0,SUM(P7:P14),0)</f>
        <v>0</v>
      </c>
      <c r="P14" s="264">
        <f>IF(AND(F52&gt;G52,F52&lt;&gt;0),F52-MAX(F44:F51,G45:G52),IF(AND(F52&lt;G52,F52&lt;&gt;0),F52-MAX(F44:F51,G45:G51),0))</f>
        <v>0</v>
      </c>
      <c r="Q14" s="263">
        <f>IF(R14&gt;0,SUM(R7:R14),0)</f>
        <v>0</v>
      </c>
      <c r="R14" s="264">
        <f>IF(AND(G52&gt;F52,G52&lt;&gt;0),G52-MAX(G45:G51,F44:F52),IF(AND(G52&lt;F52,G52&lt;&gt;0),G52-MAX(G45:G51,F44:F51),0))</f>
        <v>0</v>
      </c>
      <c r="S14" s="263">
        <f>IF(T14&gt;0,SUM(T7:T14),0)</f>
        <v>0</v>
      </c>
      <c r="T14" s="264">
        <f>IF(AND(H52&gt;H51,H52&lt;&gt;0),H52-MAX(H44:H51),0)</f>
        <v>0</v>
      </c>
      <c r="U14" s="265">
        <f>IF(V14&gt;0,SUM(V7:V14),0)</f>
        <v>0</v>
      </c>
      <c r="V14" s="264">
        <f t="shared" si="3"/>
        <v>0</v>
      </c>
      <c r="W14" s="263">
        <v>0.0</v>
      </c>
      <c r="X14" s="264">
        <f t="shared" si="12"/>
        <v>0</v>
      </c>
      <c r="Y14" s="263">
        <f>IF(Z14&gt;0,SUM(Z7:Z14),0)</f>
        <v>0</v>
      </c>
      <c r="Z14" s="264">
        <f t="shared" si="4"/>
        <v>0</v>
      </c>
      <c r="AA14" s="263">
        <f>IF(AB14&gt;0,SUM(AB7:AB14),0)</f>
        <v>0</v>
      </c>
      <c r="AB14" s="264">
        <f t="shared" si="5"/>
        <v>0</v>
      </c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</row>
    <row r="15">
      <c r="A15" s="247" t="str">
        <f>AA2</f>
        <v>3rd</v>
      </c>
      <c r="B15" s="248">
        <f>AA3</f>
        <v>46109</v>
      </c>
      <c r="C15" s="266" t="s">
        <v>202</v>
      </c>
      <c r="D15" s="267">
        <v>158220.0</v>
      </c>
      <c r="E15" s="268">
        <v>188070.0</v>
      </c>
      <c r="F15" s="268">
        <v>165100.0</v>
      </c>
      <c r="G15" s="269">
        <v>81580.0</v>
      </c>
      <c r="H15" s="269">
        <v>80620.0</v>
      </c>
      <c r="I15" s="267">
        <v>673590.0</v>
      </c>
      <c r="J15" s="269"/>
      <c r="K15" s="267">
        <v>173590.0</v>
      </c>
      <c r="L15" s="269"/>
      <c r="M15" s="267">
        <v>0.0</v>
      </c>
      <c r="N15" s="269"/>
      <c r="O15" s="267">
        <v>58460.0</v>
      </c>
      <c r="P15" s="269"/>
      <c r="Q15" s="267">
        <v>0.0</v>
      </c>
      <c r="R15" s="269"/>
      <c r="S15" s="267">
        <v>24640.0</v>
      </c>
      <c r="T15" s="269"/>
      <c r="U15" s="270">
        <v>416900.0</v>
      </c>
      <c r="V15" s="269"/>
      <c r="W15" s="267">
        <v>0.0</v>
      </c>
      <c r="X15" s="269"/>
      <c r="Y15" s="267">
        <v>138820.0</v>
      </c>
      <c r="Z15" s="269"/>
      <c r="AA15" s="267">
        <v>34770.0</v>
      </c>
      <c r="AB15" s="269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</row>
    <row r="16">
      <c r="A16" s="247" t="str">
        <f>AA2</f>
        <v>3rd</v>
      </c>
      <c r="B16" s="248">
        <f>AA3</f>
        <v>46109</v>
      </c>
      <c r="C16" s="271" t="s">
        <v>203</v>
      </c>
      <c r="D16" s="272">
        <f t="shared" ref="D16:H16" si="14">MAX(D7:D14)</f>
        <v>0</v>
      </c>
      <c r="E16" s="272">
        <f t="shared" si="14"/>
        <v>0</v>
      </c>
      <c r="F16" s="272">
        <f t="shared" si="14"/>
        <v>0</v>
      </c>
      <c r="G16" s="272">
        <f t="shared" si="14"/>
        <v>0</v>
      </c>
      <c r="H16" s="272">
        <f t="shared" si="14"/>
        <v>0</v>
      </c>
      <c r="I16" s="272">
        <f>SUM(J7:J14)</f>
        <v>0</v>
      </c>
      <c r="J16" s="273"/>
      <c r="K16" s="272">
        <f>SUM(L7:L14)</f>
        <v>0</v>
      </c>
      <c r="L16" s="273"/>
      <c r="M16" s="272">
        <f>SUM(N7:N14)</f>
        <v>0</v>
      </c>
      <c r="N16" s="273"/>
      <c r="O16" s="272">
        <f>MAX(O7:O14)</f>
        <v>0</v>
      </c>
      <c r="P16" s="273"/>
      <c r="Q16" s="272">
        <f>SUM(R7:R14)</f>
        <v>0</v>
      </c>
      <c r="R16" s="273"/>
      <c r="S16" s="272">
        <f>SUM(T7:T14)</f>
        <v>0</v>
      </c>
      <c r="T16" s="273"/>
      <c r="U16" s="274">
        <f>SUM(V7:V14)</f>
        <v>0</v>
      </c>
      <c r="V16" s="273"/>
      <c r="W16" s="272">
        <f>SUM(X7:X14)</f>
        <v>0</v>
      </c>
      <c r="X16" s="273"/>
      <c r="Y16" s="272">
        <f>SUM(Z7:Z14)</f>
        <v>0</v>
      </c>
      <c r="Z16" s="273"/>
      <c r="AA16" s="272">
        <f>SUM(AB7:AB14)</f>
        <v>0</v>
      </c>
      <c r="AB16" s="273"/>
      <c r="AC16" s="26">
        <f>IF(SUM(D16:G16)=I16,0,"ERROR")</f>
        <v>0</v>
      </c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</row>
    <row r="17">
      <c r="A17" s="247" t="str">
        <f>AA2</f>
        <v>3rd</v>
      </c>
      <c r="B17" s="248">
        <f>AA3</f>
        <v>46109</v>
      </c>
      <c r="C17" s="275" t="s">
        <v>204</v>
      </c>
      <c r="D17" s="276">
        <f t="shared" ref="D17:H17" si="15">SUM(D16,D15)</f>
        <v>158220</v>
      </c>
      <c r="E17" s="277">
        <f t="shared" si="15"/>
        <v>188070</v>
      </c>
      <c r="F17" s="277">
        <f t="shared" si="15"/>
        <v>165100</v>
      </c>
      <c r="G17" s="278">
        <f t="shared" si="15"/>
        <v>81580</v>
      </c>
      <c r="H17" s="278">
        <f t="shared" si="15"/>
        <v>80620</v>
      </c>
      <c r="I17" s="276">
        <f>SUM(I15,I16)</f>
        <v>673590</v>
      </c>
      <c r="J17" s="278"/>
      <c r="K17" s="276">
        <f>SUM(K15,K16)</f>
        <v>173590</v>
      </c>
      <c r="L17" s="278"/>
      <c r="M17" s="276">
        <f>SUM(M15,M16)</f>
        <v>0</v>
      </c>
      <c r="N17" s="278"/>
      <c r="O17" s="276">
        <f>SUM(O15,O16)</f>
        <v>58460</v>
      </c>
      <c r="P17" s="278"/>
      <c r="Q17" s="276">
        <f>SUM(Q15,Q16)</f>
        <v>0</v>
      </c>
      <c r="R17" s="278"/>
      <c r="S17" s="276">
        <f>SUM(S15,S16)</f>
        <v>24640</v>
      </c>
      <c r="T17" s="278"/>
      <c r="U17" s="279">
        <f>SUM(U15,U16)</f>
        <v>416900</v>
      </c>
      <c r="V17" s="278"/>
      <c r="W17" s="276">
        <f>SUM(W15,W16)</f>
        <v>0</v>
      </c>
      <c r="X17" s="278"/>
      <c r="Y17" s="276">
        <f>SUM(Y15,Y16)</f>
        <v>138820</v>
      </c>
      <c r="Z17" s="278"/>
      <c r="AA17" s="276">
        <f>SUM(AA15,AA16)</f>
        <v>34770</v>
      </c>
      <c r="AB17" s="278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</row>
    <row r="18" ht="14.25" customHeight="1">
      <c r="A18" s="247" t="str">
        <f>AA2</f>
        <v>3rd</v>
      </c>
      <c r="B18" s="248">
        <f>AA3</f>
        <v>46109</v>
      </c>
      <c r="C18" s="280"/>
      <c r="D18" s="281" t="str">
        <f>IF((SUM(D17:H17)=I17),"","ERROR !!!  PLEASE Check A B C D E line cum. &lt;&gt; ROM cumulitive -&gt;")</f>
        <v/>
      </c>
      <c r="E18" s="282"/>
      <c r="F18" s="282"/>
      <c r="G18" s="282"/>
      <c r="H18" s="282"/>
      <c r="I18" s="282"/>
      <c r="J18" s="282"/>
      <c r="K18" s="283">
        <f>SUM(I15,-G15,-F15,-E15,-D15,-H15)</f>
        <v>0</v>
      </c>
      <c r="L18" s="284" t="str">
        <f>IF((SUM(K17:U17,T21)&lt;&gt;I17),"ERROR !!!  PLEASE Check Data entry total YEILD ROM is less than sum of Product --&gt;","")</f>
        <v/>
      </c>
      <c r="M18" s="281"/>
      <c r="N18" s="285"/>
      <c r="O18" s="285"/>
      <c r="P18" s="285"/>
      <c r="Q18" s="285"/>
      <c r="R18" s="285"/>
      <c r="S18" s="286"/>
      <c r="T18" s="285"/>
      <c r="U18" s="283">
        <f>I17-SUM(K17:U17,T21)</f>
        <v>0</v>
      </c>
      <c r="V18" s="287" t="str">
        <f>IF((SUM(Y17,AA17)&lt;&gt;K17),"ERROR !!!  PLEASE Check 41 TO TCP AND 614+618 Data mismtch --&gt;","")</f>
        <v/>
      </c>
      <c r="W18" s="288"/>
      <c r="X18" s="289"/>
      <c r="Y18" s="289"/>
      <c r="Z18" s="290"/>
      <c r="AA18" s="291"/>
      <c r="AB18" s="292">
        <f>SUM(Y17:AA17,-K17)</f>
        <v>0</v>
      </c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</row>
    <row r="19">
      <c r="A19" s="247" t="str">
        <f>AA2</f>
        <v>3rd</v>
      </c>
      <c r="B19" s="248">
        <f>AA3</f>
        <v>46109</v>
      </c>
      <c r="C19" s="293" t="s">
        <v>25</v>
      </c>
      <c r="D19" s="294" t="s">
        <v>46</v>
      </c>
      <c r="E19" s="295" t="s">
        <v>47</v>
      </c>
      <c r="F19" s="296" t="s">
        <v>48</v>
      </c>
      <c r="G19" s="296" t="s">
        <v>205</v>
      </c>
      <c r="H19" s="296" t="s">
        <v>206</v>
      </c>
      <c r="I19" s="296" t="s">
        <v>207</v>
      </c>
      <c r="J19" s="296" t="s">
        <v>208</v>
      </c>
      <c r="K19" s="296" t="s">
        <v>209</v>
      </c>
      <c r="L19" s="296" t="s">
        <v>210</v>
      </c>
      <c r="M19" s="296" t="s">
        <v>96</v>
      </c>
      <c r="N19" s="297" t="s">
        <v>98</v>
      </c>
      <c r="O19" s="298" t="s">
        <v>211</v>
      </c>
      <c r="P19" s="299"/>
      <c r="Q19" s="300" t="s">
        <v>212</v>
      </c>
      <c r="R19" s="299"/>
      <c r="S19" s="301" t="s">
        <v>213</v>
      </c>
      <c r="T19" s="300" t="s">
        <v>214</v>
      </c>
      <c r="U19" s="25"/>
      <c r="V19" s="302" t="s">
        <v>215</v>
      </c>
      <c r="W19" s="299"/>
      <c r="X19" s="300" t="s">
        <v>216</v>
      </c>
      <c r="Y19" s="299"/>
      <c r="Z19" s="303" t="s">
        <v>217</v>
      </c>
      <c r="AA19" s="300" t="s">
        <v>214</v>
      </c>
      <c r="AB19" s="25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</row>
    <row r="20">
      <c r="A20" s="247" t="str">
        <f>AA2</f>
        <v>3rd</v>
      </c>
      <c r="B20" s="248">
        <f>AA3</f>
        <v>46109</v>
      </c>
      <c r="C20" s="293">
        <v>1.0</v>
      </c>
      <c r="D20" s="304" t="str">
        <f>VLOOKUP($C$20:$C$31,TOTAL_TIME,2,0)</f>
        <v/>
      </c>
      <c r="E20" s="305" t="str">
        <f>VLOOKUP($C$20:$C$31,TOTAL_TIME,3,0)</f>
        <v/>
      </c>
      <c r="F20" s="305" t="str">
        <f>VLOOKUP($C$20:$C$31,TOTAL_TIME,4,0)</f>
        <v/>
      </c>
      <c r="G20" s="305" t="str">
        <f>VLOOKUP($C$20:$C$31,TOTAL_TIME,5,0)</f>
        <v/>
      </c>
      <c r="H20" s="305"/>
      <c r="I20" s="305" t="str">
        <f>VLOOKUP($C$20:$C$31,TOTAL_TIME,6,0)</f>
        <v/>
      </c>
      <c r="J20" s="305" t="str">
        <f>VLOOKUP($C$20:$C$31,TOTAL_TIME,7,0)</f>
        <v/>
      </c>
      <c r="K20" s="305" t="str">
        <f>VLOOKUP($C$20:$C$31,TOTAL_TIME,8,0)</f>
        <v/>
      </c>
      <c r="L20" s="305" t="str">
        <f>VLOOKUP($C$20:$C$31,TOTAL_TIME,9,0)</f>
        <v/>
      </c>
      <c r="M20" s="305" t="str">
        <f>VLOOKUP($C$20:$C$31,TOTAL_TIME,10,0)</f>
        <v/>
      </c>
      <c r="N20" s="306" t="str">
        <f>VLOOKUP($C$20:$C$31,TOTAL_TIME,11,0)</f>
        <v/>
      </c>
      <c r="O20" s="307" t="s">
        <v>218</v>
      </c>
      <c r="P20" s="308"/>
      <c r="Q20" s="309">
        <f>I15</f>
        <v>673590</v>
      </c>
      <c r="R20" s="308"/>
      <c r="S20" s="310">
        <f>I16</f>
        <v>0</v>
      </c>
      <c r="T20" s="309">
        <f t="shared" ref="T20:T32" si="16">SUM(Q20,S20)</f>
        <v>673590</v>
      </c>
      <c r="U20" s="4"/>
      <c r="V20" s="311" t="s">
        <v>219</v>
      </c>
      <c r="W20" s="308"/>
      <c r="X20" s="312">
        <f>S15</f>
        <v>24640</v>
      </c>
      <c r="Y20" s="308"/>
      <c r="Z20" s="313">
        <f>S16</f>
        <v>0</v>
      </c>
      <c r="AA20" s="312">
        <f t="shared" ref="AA20:AA30" si="17">SUM(X20,Z20)</f>
        <v>24640</v>
      </c>
      <c r="AB20" s="4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</row>
    <row r="21" ht="15.75" customHeight="1">
      <c r="A21" s="247" t="str">
        <f>AA2</f>
        <v>3rd</v>
      </c>
      <c r="B21" s="248">
        <f>AA3</f>
        <v>46109</v>
      </c>
      <c r="C21" s="293">
        <v>2.0</v>
      </c>
      <c r="D21" s="314" t="str">
        <f>VLOOKUP($C$20:$C$31,TOTAL_TIME,2,0)</f>
        <v/>
      </c>
      <c r="E21" s="315" t="str">
        <f>VLOOKUP($C$20:$C$31,TOTAL_TIME,3,0)</f>
        <v/>
      </c>
      <c r="F21" s="315" t="str">
        <f>VLOOKUP($C$20:$C$31,TOTAL_TIME,4,0)</f>
        <v/>
      </c>
      <c r="G21" s="315" t="str">
        <f>VLOOKUP($C$20:$C$31,TOTAL_TIME,5,0)</f>
        <v/>
      </c>
      <c r="H21" s="315"/>
      <c r="I21" s="315" t="str">
        <f>VLOOKUP($C$20:$C$31,TOTAL_TIME,6,0)</f>
        <v/>
      </c>
      <c r="J21" s="315" t="str">
        <f>VLOOKUP($C$20:$C$31,TOTAL_TIME,7,0)</f>
        <v/>
      </c>
      <c r="K21" s="315" t="str">
        <f>VLOOKUP($C$20:$C$31,TOTAL_TIME,8,0)</f>
        <v/>
      </c>
      <c r="L21" s="315" t="str">
        <f>VLOOKUP($C$20:$C$31,TOTAL_TIME,9,0)</f>
        <v/>
      </c>
      <c r="M21" s="315" t="str">
        <f>VLOOKUP($C$20:$C$31,TOTAL_TIME,10,0)</f>
        <v/>
      </c>
      <c r="N21" s="316" t="str">
        <f>VLOOKUP($C$20:$C$31,TOTAL_TIME,11,0)</f>
        <v/>
      </c>
      <c r="O21" s="317" t="s">
        <v>220</v>
      </c>
      <c r="P21" s="12"/>
      <c r="Q21" s="318">
        <v>0.0</v>
      </c>
      <c r="R21" s="12"/>
      <c r="S21" s="319">
        <f>IF(I16&gt;SUM(K16,M16,O16,Q16,S16,U16),SUM(I16,-SUM(K16,M16,O16,Q16,S16,U16)),0)</f>
        <v>0</v>
      </c>
      <c r="T21" s="318">
        <f t="shared" si="16"/>
        <v>0</v>
      </c>
      <c r="U21" s="16"/>
      <c r="V21" s="320" t="s">
        <v>221</v>
      </c>
      <c r="W21" s="12"/>
      <c r="X21" s="321">
        <v>24640.0</v>
      </c>
      <c r="Y21" s="12"/>
      <c r="Z21" s="322">
        <f>Z20-Z22</f>
        <v>0</v>
      </c>
      <c r="AA21" s="321">
        <f t="shared" si="17"/>
        <v>24640</v>
      </c>
      <c r="AB21" s="1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</row>
    <row r="22" ht="15.75" customHeight="1">
      <c r="A22" s="247" t="str">
        <f>AA2</f>
        <v>3rd</v>
      </c>
      <c r="B22" s="248">
        <f>AA3</f>
        <v>46109</v>
      </c>
      <c r="C22" s="293">
        <v>3.0</v>
      </c>
      <c r="D22" s="304" t="str">
        <f>VLOOKUP($C$20:$C$31,TOTAL_TIME,2,0)</f>
        <v/>
      </c>
      <c r="E22" s="323" t="str">
        <f>VLOOKUP($C$20:$C$31,TOTAL_TIME,3,0)</f>
        <v/>
      </c>
      <c r="F22" s="323" t="str">
        <f>VLOOKUP($C$20:$C$31,TOTAL_TIME,4,0)</f>
        <v/>
      </c>
      <c r="G22" s="323" t="str">
        <f>VLOOKUP($C$20:$C$31,TOTAL_TIME,5,0)</f>
        <v/>
      </c>
      <c r="H22" s="323"/>
      <c r="I22" s="323" t="str">
        <f>VLOOKUP($C$20:$C$31,TOTAL_TIME,6,0)</f>
        <v/>
      </c>
      <c r="J22" s="323" t="str">
        <f>VLOOKUP($C$20:$C$31,TOTAL_TIME,7,0)</f>
        <v/>
      </c>
      <c r="K22" s="323" t="str">
        <f>VLOOKUP($C$20:$C$31,TOTAL_TIME,8,0)</f>
        <v/>
      </c>
      <c r="L22" s="323" t="str">
        <f>VLOOKUP($C$20:$C$31,TOTAL_TIME,9,0)</f>
        <v/>
      </c>
      <c r="M22" s="323" t="str">
        <f>VLOOKUP($C$20:$C$31,TOTAL_TIME,10,0)</f>
        <v/>
      </c>
      <c r="N22" s="324" t="str">
        <f>VLOOKUP($C$20:$C$31,TOTAL_TIME,11,0)</f>
        <v/>
      </c>
      <c r="O22" s="317" t="s">
        <v>222</v>
      </c>
      <c r="P22" s="12"/>
      <c r="Q22" s="318">
        <f>SUM(M15,Q15,X22)</f>
        <v>0</v>
      </c>
      <c r="R22" s="12"/>
      <c r="S22" s="319">
        <f>SUM(M16,Q16,Z22)</f>
        <v>0</v>
      </c>
      <c r="T22" s="318">
        <f t="shared" si="16"/>
        <v>0</v>
      </c>
      <c r="U22" s="16"/>
      <c r="V22" s="320" t="s">
        <v>223</v>
      </c>
      <c r="W22" s="12"/>
      <c r="X22" s="321">
        <v>0.0</v>
      </c>
      <c r="Y22" s="12"/>
      <c r="Z22" s="322">
        <f>MROUND(SUM(IF(N7&gt;0,T7,0),IF(N8&gt;0,T8,0),IF(N9&gt;0,T9,0),IF(N10&gt;0,T10,0),IF(N11&gt;0,T11,0),IF(N12&gt;0,T12,0),IF(N13&gt;0,T13,0),IF(N14&gt;0,T14,0))*1,10)</f>
        <v>0</v>
      </c>
      <c r="AA22" s="321">
        <f t="shared" si="17"/>
        <v>0</v>
      </c>
      <c r="AB22" s="1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</row>
    <row r="23" ht="15.75" customHeight="1">
      <c r="A23" s="247" t="str">
        <f>AA2</f>
        <v>3rd</v>
      </c>
      <c r="B23" s="248">
        <f>AA3</f>
        <v>46109</v>
      </c>
      <c r="C23" s="293">
        <v>4.0</v>
      </c>
      <c r="D23" s="314" t="str">
        <f>VLOOKUP($C$20:$C$31,TOTAL_TIME,2,0)</f>
        <v/>
      </c>
      <c r="E23" s="315" t="str">
        <f>VLOOKUP($C$20:$C$31,TOTAL_TIME,3,0)</f>
        <v/>
      </c>
      <c r="F23" s="315" t="str">
        <f>VLOOKUP($C$20:$C$31,TOTAL_TIME,4,0)</f>
        <v/>
      </c>
      <c r="G23" s="315" t="str">
        <f>VLOOKUP($C$20:$C$31,TOTAL_TIME,5,0)</f>
        <v/>
      </c>
      <c r="H23" s="315"/>
      <c r="I23" s="315" t="str">
        <f>VLOOKUP($C$20:$C$31,TOTAL_TIME,6,0)</f>
        <v/>
      </c>
      <c r="J23" s="315" t="str">
        <f>VLOOKUP($C$20:$C$31,TOTAL_TIME,7,0)</f>
        <v/>
      </c>
      <c r="K23" s="315" t="str">
        <f>VLOOKUP($C$20:$C$31,TOTAL_TIME,8,0)</f>
        <v/>
      </c>
      <c r="L23" s="315" t="str">
        <f>VLOOKUP($C$20:$C$31,TOTAL_TIME,9,0)</f>
        <v/>
      </c>
      <c r="M23" s="315" t="str">
        <f>VLOOKUP($C$20:$C$31,TOTAL_TIME,10,0)</f>
        <v/>
      </c>
      <c r="N23" s="316" t="str">
        <f>VLOOKUP($C$20:$C$31,TOTAL_TIME,11,0)</f>
        <v/>
      </c>
      <c r="O23" s="317" t="s">
        <v>224</v>
      </c>
      <c r="P23" s="12"/>
      <c r="Q23" s="318">
        <f>SUM(O15,Y15,X21)</f>
        <v>221920</v>
      </c>
      <c r="R23" s="12"/>
      <c r="S23" s="319">
        <f>SUM(O16,Y16,Z21)</f>
        <v>0</v>
      </c>
      <c r="T23" s="318">
        <f t="shared" si="16"/>
        <v>221920</v>
      </c>
      <c r="U23" s="16"/>
      <c r="V23" s="320" t="s">
        <v>225</v>
      </c>
      <c r="W23" s="12"/>
      <c r="X23" s="321">
        <v>0.0</v>
      </c>
      <c r="Y23" s="12"/>
      <c r="Z23" s="322">
        <f>SUM(Z20-Z21-Z22)</f>
        <v>0</v>
      </c>
      <c r="AA23" s="321">
        <f t="shared" si="17"/>
        <v>0</v>
      </c>
      <c r="AB23" s="1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</row>
    <row r="24" ht="15.75" customHeight="1">
      <c r="A24" s="247" t="str">
        <f>AA2</f>
        <v>3rd</v>
      </c>
      <c r="B24" s="248">
        <f>AA3</f>
        <v>46109</v>
      </c>
      <c r="C24" s="293">
        <v>5.0</v>
      </c>
      <c r="D24" s="304" t="str">
        <f>VLOOKUP($C$20:$C$31,TOTAL_TIME,2,0)</f>
        <v/>
      </c>
      <c r="E24" s="323" t="str">
        <f>VLOOKUP($C$20:$C$31,TOTAL_TIME,3,0)</f>
        <v/>
      </c>
      <c r="F24" s="323" t="str">
        <f>VLOOKUP($C$20:$C$31,TOTAL_TIME,4,0)</f>
        <v/>
      </c>
      <c r="G24" s="323" t="str">
        <f>VLOOKUP($C$20:$C$31,TOTAL_TIME,5,0)</f>
        <v/>
      </c>
      <c r="H24" s="323"/>
      <c r="I24" s="323" t="str">
        <f>VLOOKUP($C$20:$C$31,TOTAL_TIME,6,0)</f>
        <v/>
      </c>
      <c r="J24" s="323" t="str">
        <f>VLOOKUP($C$20:$C$31,TOTAL_TIME,7,0)</f>
        <v/>
      </c>
      <c r="K24" s="323" t="str">
        <f>VLOOKUP($C$20:$C$31,TOTAL_TIME,8,0)</f>
        <v/>
      </c>
      <c r="L24" s="323" t="str">
        <f>VLOOKUP($C$20:$C$31,TOTAL_TIME,9,0)</f>
        <v/>
      </c>
      <c r="M24" s="323" t="str">
        <f>VLOOKUP($C$20:$C$31,TOTAL_TIME,10,0)</f>
        <v/>
      </c>
      <c r="N24" s="324" t="str">
        <f>VLOOKUP($C$20:$C$31,TOTAL_TIME,11,0)</f>
        <v/>
      </c>
      <c r="O24" s="317" t="s">
        <v>226</v>
      </c>
      <c r="P24" s="12"/>
      <c r="Q24" s="318">
        <f>SUM(U15,AA15,X23)</f>
        <v>451670</v>
      </c>
      <c r="R24" s="12"/>
      <c r="S24" s="319">
        <f>SUM(U16,AA16,Z23)</f>
        <v>0</v>
      </c>
      <c r="T24" s="318">
        <f t="shared" si="16"/>
        <v>451670</v>
      </c>
      <c r="U24" s="16"/>
      <c r="V24" s="320" t="s">
        <v>227</v>
      </c>
      <c r="W24" s="12"/>
      <c r="X24" s="321">
        <v>105260.0</v>
      </c>
      <c r="Y24" s="12"/>
      <c r="Z24" s="322">
        <f>IF(X53&lt;&gt;0,X53,SUM(S24-Z30-Z29))</f>
        <v>0</v>
      </c>
      <c r="AA24" s="321">
        <f t="shared" si="17"/>
        <v>105260</v>
      </c>
      <c r="AB24" s="1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</row>
    <row r="25" ht="15.75" customHeight="1">
      <c r="A25" s="247" t="str">
        <f>AA2</f>
        <v>3rd</v>
      </c>
      <c r="B25" s="248">
        <f>AA3</f>
        <v>46109</v>
      </c>
      <c r="C25" s="293">
        <v>6.0</v>
      </c>
      <c r="D25" s="314" t="str">
        <f>VLOOKUP($C$20:$C$31,TOTAL_TIME,2,0)</f>
        <v/>
      </c>
      <c r="E25" s="315" t="str">
        <f>VLOOKUP($C$20:$C$31,TOTAL_TIME,3,0)</f>
        <v/>
      </c>
      <c r="F25" s="315" t="str">
        <f>VLOOKUP($C$20:$C$31,TOTAL_TIME,4,0)</f>
        <v/>
      </c>
      <c r="G25" s="315" t="str">
        <f>VLOOKUP($C$20:$C$31,TOTAL_TIME,5,0)</f>
        <v/>
      </c>
      <c r="H25" s="315"/>
      <c r="I25" s="315" t="str">
        <f>VLOOKUP($C$20:$C$31,TOTAL_TIME,6,0)</f>
        <v/>
      </c>
      <c r="J25" s="315" t="str">
        <f>VLOOKUP($C$20:$C$31,TOTAL_TIME,7,0)</f>
        <v/>
      </c>
      <c r="K25" s="315" t="str">
        <f>VLOOKUP($C$20:$C$31,TOTAL_TIME,8,0)</f>
        <v/>
      </c>
      <c r="L25" s="315" t="str">
        <f>VLOOKUP($C$20:$C$31,TOTAL_TIME,9,0)</f>
        <v/>
      </c>
      <c r="M25" s="315" t="str">
        <f>VLOOKUP($C$20:$C$31,TOTAL_TIME,10,0)</f>
        <v/>
      </c>
      <c r="N25" s="316" t="str">
        <f>VLOOKUP($C$20:$C$31,TOTAL_TIME,11,0)</f>
        <v/>
      </c>
      <c r="O25" s="325" t="s">
        <v>228</v>
      </c>
      <c r="P25" s="20"/>
      <c r="Q25" s="326">
        <v>22846.0</v>
      </c>
      <c r="R25" s="20"/>
      <c r="S25" s="327" t="str">
        <f>X52</f>
        <v/>
      </c>
      <c r="T25" s="326">
        <f t="shared" si="16"/>
        <v>22846</v>
      </c>
      <c r="U25" s="22"/>
      <c r="V25" s="320" t="s">
        <v>229</v>
      </c>
      <c r="W25" s="12"/>
      <c r="X25" s="321">
        <f>SUM(Q22,-X26)</f>
        <v>0</v>
      </c>
      <c r="Y25" s="12"/>
      <c r="Z25" s="322">
        <f>IF(OR(X48=0,X48=""),SUM(S22,-X49),X48)</f>
        <v>0</v>
      </c>
      <c r="AA25" s="321">
        <f t="shared" si="17"/>
        <v>0</v>
      </c>
      <c r="AB25" s="1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</row>
    <row r="26" ht="15.75" customHeight="1">
      <c r="A26" s="247" t="str">
        <f>AA2</f>
        <v>3rd</v>
      </c>
      <c r="B26" s="248">
        <f>AA3</f>
        <v>46109</v>
      </c>
      <c r="C26" s="293">
        <v>7.0</v>
      </c>
      <c r="D26" s="304" t="str">
        <f>VLOOKUP($C$20:$C$31,TOTAL_TIME,2,0)</f>
        <v/>
      </c>
      <c r="E26" s="323" t="str">
        <f>VLOOKUP($C$20:$C$31,TOTAL_TIME,3,0)</f>
        <v/>
      </c>
      <c r="F26" s="323" t="str">
        <f>VLOOKUP($C$20:$C$31,TOTAL_TIME,4,0)</f>
        <v/>
      </c>
      <c r="G26" s="323" t="str">
        <f>VLOOKUP($C$20:$C$31,TOTAL_TIME,5,0)</f>
        <v/>
      </c>
      <c r="H26" s="323"/>
      <c r="I26" s="323" t="str">
        <f>VLOOKUP($C$20:$C$31,TOTAL_TIME,6,0)</f>
        <v/>
      </c>
      <c r="J26" s="323" t="str">
        <f>VLOOKUP($C$20:$C$31,TOTAL_TIME,7,0)</f>
        <v/>
      </c>
      <c r="K26" s="323" t="str">
        <f>VLOOKUP($C$20:$C$31,TOTAL_TIME,8,0)</f>
        <v/>
      </c>
      <c r="L26" s="323" t="str">
        <f>VLOOKUP($C$20:$C$31,TOTAL_TIME,9,0)</f>
        <v/>
      </c>
      <c r="M26" s="323" t="str">
        <f>VLOOKUP($C$20:$C$31,TOTAL_TIME,10,0)</f>
        <v/>
      </c>
      <c r="N26" s="324" t="str">
        <f>VLOOKUP($C$20:$C$31,TOTAL_TIME,11,0)</f>
        <v/>
      </c>
      <c r="O26" s="328" t="s">
        <v>230</v>
      </c>
      <c r="P26" s="308"/>
      <c r="Q26" s="329">
        <v>9118460.0</v>
      </c>
      <c r="R26" s="308"/>
      <c r="S26" s="330">
        <f>I16</f>
        <v>0</v>
      </c>
      <c r="T26" s="329">
        <f t="shared" si="16"/>
        <v>9118460</v>
      </c>
      <c r="U26" s="4"/>
      <c r="V26" s="320" t="s">
        <v>231</v>
      </c>
      <c r="W26" s="12"/>
      <c r="X26" s="321">
        <v>0.0</v>
      </c>
      <c r="Y26" s="12"/>
      <c r="Z26" s="322">
        <f>IF(OR(X48&lt;&gt;0,X48&lt;&gt;""),SUM(S22-Z25),X49)</f>
        <v>0</v>
      </c>
      <c r="AA26" s="321">
        <f t="shared" si="17"/>
        <v>0</v>
      </c>
      <c r="AB26" s="1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</row>
    <row r="27" ht="15.75" customHeight="1">
      <c r="A27" s="247" t="str">
        <f>AA2</f>
        <v>3rd</v>
      </c>
      <c r="B27" s="248">
        <f>AA3</f>
        <v>46109</v>
      </c>
      <c r="C27" s="293">
        <v>8.0</v>
      </c>
      <c r="D27" s="314" t="str">
        <f>VLOOKUP($C$20:$C$31,TOTAL_TIME,2,0)</f>
        <v/>
      </c>
      <c r="E27" s="315" t="str">
        <f>VLOOKUP($C$20:$C$31,TOTAL_TIME,3,0)</f>
        <v/>
      </c>
      <c r="F27" s="315" t="str">
        <f>VLOOKUP($C$20:$C$31,TOTAL_TIME,4,0)</f>
        <v/>
      </c>
      <c r="G27" s="315" t="str">
        <f>VLOOKUP($C$20:$C$31,TOTAL_TIME,5,0)</f>
        <v/>
      </c>
      <c r="H27" s="315"/>
      <c r="I27" s="315" t="str">
        <f>VLOOKUP($C$20:$C$31,TOTAL_TIME,6,0)</f>
        <v/>
      </c>
      <c r="J27" s="315" t="str">
        <f>VLOOKUP($C$20:$C$31,TOTAL_TIME,7,0)</f>
        <v/>
      </c>
      <c r="K27" s="315" t="str">
        <f>VLOOKUP($C$20:$C$31,TOTAL_TIME,8,0)</f>
        <v/>
      </c>
      <c r="L27" s="315" t="str">
        <f>VLOOKUP($C$20:$C$31,TOTAL_TIME,9,0)</f>
        <v/>
      </c>
      <c r="M27" s="315" t="str">
        <f>VLOOKUP($C$20:$C$31,TOTAL_TIME,10,0)</f>
        <v/>
      </c>
      <c r="N27" s="316" t="str">
        <f>VLOOKUP($C$20:$C$31,TOTAL_TIME,11,0)</f>
        <v/>
      </c>
      <c r="O27" s="331" t="s">
        <v>232</v>
      </c>
      <c r="P27" s="12"/>
      <c r="Q27" s="332">
        <v>62070.0</v>
      </c>
      <c r="R27" s="12"/>
      <c r="S27" s="333">
        <f>S21</f>
        <v>0</v>
      </c>
      <c r="T27" s="332">
        <f t="shared" si="16"/>
        <v>62070</v>
      </c>
      <c r="U27" s="16"/>
      <c r="V27" s="320" t="s">
        <v>233</v>
      </c>
      <c r="W27" s="12"/>
      <c r="X27" s="321">
        <f>SUM(Q23,-X28)</f>
        <v>219160</v>
      </c>
      <c r="Y27" s="12"/>
      <c r="Z27" s="322">
        <f>IF(OR(X46=0,X46=""),SUM(S23,-X47),X46)</f>
        <v>0</v>
      </c>
      <c r="AA27" s="321">
        <f t="shared" si="17"/>
        <v>219160</v>
      </c>
      <c r="AB27" s="1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</row>
    <row r="28" ht="15.75" customHeight="1">
      <c r="A28" s="247" t="str">
        <f>AA2</f>
        <v>3rd</v>
      </c>
      <c r="B28" s="248">
        <f>AA3</f>
        <v>46109</v>
      </c>
      <c r="C28" s="293">
        <v>9.0</v>
      </c>
      <c r="D28" s="304" t="str">
        <f>VLOOKUP($C$20:$C$31,TOTAL_TIME,2,0)</f>
        <v/>
      </c>
      <c r="E28" s="323" t="str">
        <f>VLOOKUP($C$20:$C$31,TOTAL_TIME,3,0)</f>
        <v/>
      </c>
      <c r="F28" s="323" t="str">
        <f>VLOOKUP($C$20:$C$31,TOTAL_TIME,4,0)</f>
        <v/>
      </c>
      <c r="G28" s="323" t="str">
        <f>VLOOKUP($C$20:$C$31,TOTAL_TIME,5,0)</f>
        <v/>
      </c>
      <c r="H28" s="323"/>
      <c r="I28" s="323" t="str">
        <f>VLOOKUP($C$20:$C$31,TOTAL_TIME,6,0)</f>
        <v/>
      </c>
      <c r="J28" s="323" t="str">
        <f>VLOOKUP($C$20:$C$31,TOTAL_TIME,7,0)</f>
        <v/>
      </c>
      <c r="K28" s="323" t="str">
        <f>VLOOKUP($C$20:$C$31,TOTAL_TIME,8,0)</f>
        <v/>
      </c>
      <c r="L28" s="323" t="str">
        <f>VLOOKUP($C$20:$C$31,TOTAL_TIME,9,0)</f>
        <v/>
      </c>
      <c r="M28" s="323" t="str">
        <f>VLOOKUP($C$20:$C$31,TOTAL_TIME,10,0)</f>
        <v/>
      </c>
      <c r="N28" s="324" t="str">
        <f>VLOOKUP($C$20:$C$31,TOTAL_TIME,11,0)</f>
        <v/>
      </c>
      <c r="O28" s="334" t="s">
        <v>234</v>
      </c>
      <c r="P28" s="12"/>
      <c r="Q28" s="332">
        <v>0.0</v>
      </c>
      <c r="R28" s="12"/>
      <c r="S28" s="333">
        <f>X54</f>
        <v>0</v>
      </c>
      <c r="T28" s="332">
        <f t="shared" si="16"/>
        <v>0</v>
      </c>
      <c r="U28" s="16"/>
      <c r="V28" s="320" t="s">
        <v>235</v>
      </c>
      <c r="W28" s="12"/>
      <c r="X28" s="321">
        <v>2760.0</v>
      </c>
      <c r="Y28" s="12"/>
      <c r="Z28" s="322">
        <f>IF(OR(X46&lt;&gt;0,X46&lt;&gt;""),SUM(S23-Z27),X47)</f>
        <v>0</v>
      </c>
      <c r="AA28" s="321">
        <f t="shared" si="17"/>
        <v>2760</v>
      </c>
      <c r="AB28" s="1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</row>
    <row r="29" ht="15.75" customHeight="1">
      <c r="A29" s="247" t="str">
        <f>AA2</f>
        <v>3rd</v>
      </c>
      <c r="B29" s="248">
        <f>AA3</f>
        <v>46109</v>
      </c>
      <c r="C29" s="293">
        <v>10.0</v>
      </c>
      <c r="D29" s="335" t="str">
        <f>VLOOKUP($C$20:$C$31,TOTAL_TIME,2,0)</f>
        <v/>
      </c>
      <c r="E29" s="336" t="str">
        <f>VLOOKUP($C$20:$C$31,TOTAL_TIME,3,0)</f>
        <v/>
      </c>
      <c r="F29" s="336" t="str">
        <f>VLOOKUP($C$20:$C$31,TOTAL_TIME,4,0)</f>
        <v/>
      </c>
      <c r="G29" s="336" t="str">
        <f>VLOOKUP($C$20:$C$31,TOTAL_TIME,5,0)</f>
        <v/>
      </c>
      <c r="H29" s="336"/>
      <c r="I29" s="336" t="str">
        <f>VLOOKUP($C$20:$C$31,TOTAL_TIME,6,0)</f>
        <v/>
      </c>
      <c r="J29" s="336" t="str">
        <f>VLOOKUP($C$20:$C$31,TOTAL_TIME,7,0)</f>
        <v/>
      </c>
      <c r="K29" s="336" t="str">
        <f>VLOOKUP($C$20:$C$31,TOTAL_TIME,8,0)</f>
        <v/>
      </c>
      <c r="L29" s="336" t="str">
        <f>VLOOKUP($C$20:$C$31,TOTAL_TIME,9,0)</f>
        <v/>
      </c>
      <c r="M29" s="336" t="str">
        <f>VLOOKUP($C$20:$C$31,TOTAL_TIME,10,0)</f>
        <v/>
      </c>
      <c r="N29" s="337" t="str">
        <f>VLOOKUP($C$20:$C$31,TOTAL_TIME,11,0)</f>
        <v/>
      </c>
      <c r="O29" s="331" t="s">
        <v>236</v>
      </c>
      <c r="P29" s="12"/>
      <c r="Q29" s="332">
        <v>54720.0</v>
      </c>
      <c r="R29" s="12"/>
      <c r="S29" s="333">
        <f t="shared" ref="S29:S31" si="18">S22</f>
        <v>0</v>
      </c>
      <c r="T29" s="332">
        <f t="shared" si="16"/>
        <v>54720</v>
      </c>
      <c r="U29" s="16"/>
      <c r="V29" s="320" t="s">
        <v>237</v>
      </c>
      <c r="W29" s="12"/>
      <c r="X29" s="321">
        <f>SUM(Q24,-X30,-X24)</f>
        <v>346410</v>
      </c>
      <c r="Y29" s="12"/>
      <c r="Z29" s="322">
        <f>IF(OR(X50=0,X50=""),SUM(S24,-X51-X53),X50)</f>
        <v>0</v>
      </c>
      <c r="AA29" s="321">
        <f t="shared" si="17"/>
        <v>346410</v>
      </c>
      <c r="AB29" s="1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</row>
    <row r="30" ht="15.75" customHeight="1">
      <c r="A30" s="247" t="str">
        <f>AA2</f>
        <v>3rd</v>
      </c>
      <c r="B30" s="248">
        <f>AA3</f>
        <v>46109</v>
      </c>
      <c r="C30" s="293">
        <v>11.0</v>
      </c>
      <c r="D30" s="338" t="str">
        <f>VLOOKUP($C$20:$C$31,TOTAL_TIME,2,0)</f>
        <v/>
      </c>
      <c r="E30" s="339" t="str">
        <f>VLOOKUP($C$20:$C$31,TOTAL_TIME,3,0)</f>
        <v/>
      </c>
      <c r="F30" s="339" t="str">
        <f>VLOOKUP($C$20:$C$31,TOTAL_TIME,4,0)</f>
        <v/>
      </c>
      <c r="G30" s="339" t="str">
        <f>VLOOKUP($C$20:$C$31,TOTAL_TIME,5,0)</f>
        <v/>
      </c>
      <c r="H30" s="339"/>
      <c r="I30" s="339" t="str">
        <f>VLOOKUP($C$20:$C$31,TOTAL_TIME,6,0)</f>
        <v/>
      </c>
      <c r="J30" s="339" t="str">
        <f>VLOOKUP($C$20:$C$31,TOTAL_TIME,7,0)</f>
        <v/>
      </c>
      <c r="K30" s="339" t="str">
        <f>VLOOKUP($C$20:$C$31,TOTAL_TIME,8,0)</f>
        <v/>
      </c>
      <c r="L30" s="339" t="str">
        <f>VLOOKUP($C$20:$C$31,TOTAL_TIME,9,0)</f>
        <v/>
      </c>
      <c r="M30" s="339" t="str">
        <f>VLOOKUP($C$20:$C$31,TOTAL_TIME,10,0)</f>
        <v/>
      </c>
      <c r="N30" s="340" t="str">
        <f>VLOOKUP($C$20:$C$31,TOTAL_TIME,11,0)</f>
        <v/>
      </c>
      <c r="O30" s="331" t="s">
        <v>238</v>
      </c>
      <c r="P30" s="12"/>
      <c r="Q30" s="332">
        <v>4181450.0</v>
      </c>
      <c r="R30" s="12"/>
      <c r="S30" s="333">
        <f t="shared" si="18"/>
        <v>0</v>
      </c>
      <c r="T30" s="332">
        <f t="shared" si="16"/>
        <v>4181450</v>
      </c>
      <c r="U30" s="16"/>
      <c r="V30" s="341" t="s">
        <v>239</v>
      </c>
      <c r="W30" s="20"/>
      <c r="X30" s="342">
        <v>0.0</v>
      </c>
      <c r="Y30" s="20"/>
      <c r="Z30" s="322">
        <f>IF(OR(X50&lt;&gt;0,X50&lt;&gt;""),SUM(S24,-Z29,-X53),X51)</f>
        <v>0</v>
      </c>
      <c r="AA30" s="342">
        <f t="shared" si="17"/>
        <v>0</v>
      </c>
      <c r="AB30" s="22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</row>
    <row r="31" ht="15.75" customHeight="1">
      <c r="A31" s="343"/>
      <c r="B31" s="344"/>
      <c r="C31" s="345" t="s">
        <v>240</v>
      </c>
      <c r="D31" s="346">
        <f t="shared" ref="D31:G31" si="19">SUM(D20:D30)</f>
        <v>0</v>
      </c>
      <c r="E31" s="346">
        <f t="shared" si="19"/>
        <v>0</v>
      </c>
      <c r="F31" s="346">
        <f t="shared" si="19"/>
        <v>0</v>
      </c>
      <c r="G31" s="346">
        <f t="shared" si="19"/>
        <v>0</v>
      </c>
      <c r="H31" s="346"/>
      <c r="I31" s="346">
        <f t="shared" ref="I31:N31" si="20">SUM(I20:I30)</f>
        <v>0</v>
      </c>
      <c r="J31" s="346">
        <f t="shared" si="20"/>
        <v>0</v>
      </c>
      <c r="K31" s="346">
        <f t="shared" si="20"/>
        <v>0</v>
      </c>
      <c r="L31" s="346">
        <f t="shared" si="20"/>
        <v>0</v>
      </c>
      <c r="M31" s="346">
        <f t="shared" si="20"/>
        <v>0</v>
      </c>
      <c r="N31" s="346">
        <f t="shared" si="20"/>
        <v>0</v>
      </c>
      <c r="O31" s="331" t="s">
        <v>241</v>
      </c>
      <c r="P31" s="12"/>
      <c r="Q31" s="332">
        <v>4976550.0</v>
      </c>
      <c r="R31" s="12"/>
      <c r="S31" s="333">
        <f t="shared" si="18"/>
        <v>0</v>
      </c>
      <c r="T31" s="332">
        <f t="shared" si="16"/>
        <v>4976550</v>
      </c>
      <c r="U31" s="16"/>
      <c r="V31" s="347" t="str">
        <f>IF(SUM(AA21:AB23)&lt;&gt;AA20,"NP2 CUM. EEROR","")</f>
        <v/>
      </c>
      <c r="W31" s="3"/>
      <c r="X31" s="3"/>
      <c r="Y31" s="3"/>
      <c r="Z31" s="3"/>
      <c r="AA31" s="3"/>
      <c r="AB31" s="4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</row>
    <row r="32" ht="15.75" customHeight="1">
      <c r="A32" s="348"/>
      <c r="B32" s="348"/>
      <c r="C32" s="349"/>
      <c r="D32" s="350">
        <v>123456.0</v>
      </c>
      <c r="E32" s="351">
        <v>123456.0</v>
      </c>
      <c r="F32" s="351">
        <v>123456.0</v>
      </c>
      <c r="G32" s="351">
        <v>123456.0</v>
      </c>
      <c r="H32" s="351"/>
      <c r="I32" s="351">
        <v>1234567.0</v>
      </c>
      <c r="J32" s="351">
        <v>12345.0</v>
      </c>
      <c r="K32" s="351">
        <v>123456.0</v>
      </c>
      <c r="L32" s="351">
        <v>12345.0</v>
      </c>
      <c r="M32" s="351">
        <v>123456.0</v>
      </c>
      <c r="N32" s="352"/>
      <c r="O32" s="353" t="s">
        <v>242</v>
      </c>
      <c r="P32" s="20"/>
      <c r="Q32" s="354">
        <f>SUM(Q29:Q31)</f>
        <v>9212720</v>
      </c>
      <c r="R32" s="20"/>
      <c r="S32" s="355">
        <f>SUM(S29:S31)</f>
        <v>0</v>
      </c>
      <c r="T32" s="354">
        <f t="shared" si="16"/>
        <v>9212720</v>
      </c>
      <c r="U32" s="22"/>
      <c r="V32" s="356" t="str">
        <f>IF(AND(SUM(AA27:AB28)=T23,SUM(AA29:AB30,AA24)=T24,SUM(AA25:AB26)=T22),"","ERROR!!  PLEASE CHECK INTIAL S/L -D/L CUMMULATIVES OF (CLO,LUMP ,FINES AND FOD )")</f>
        <v/>
      </c>
      <c r="W32" s="357"/>
      <c r="X32" s="357"/>
      <c r="Y32" s="357"/>
      <c r="Z32" s="357"/>
      <c r="AA32" s="357"/>
      <c r="AB32" s="22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</row>
    <row r="33" ht="15.75" customHeight="1">
      <c r="A33" s="199"/>
      <c r="B33" s="199"/>
      <c r="C33" s="358">
        <f>M16+Q16+O16+Y16</f>
        <v>0</v>
      </c>
      <c r="D33" s="33" t="str">
        <f>IFERROR(SUM(M16,Q16)/SUM(M16,Q16,O16,Y16),"")</f>
        <v/>
      </c>
      <c r="E33" s="358">
        <f>M16+Q16</f>
        <v>0</v>
      </c>
      <c r="F33" s="33">
        <f>MROUND(SUM(IF(L7&gt;0,T7,0),IF(L8&gt;0,T8,0),IF(L9&gt;0,T9,0),IF(L10&gt;0,T10,0),IF(L11&gt;0,T11,0),IF(L12&gt;0,T12,0),IF(L13&gt;0,T13,0),IF(L14&gt;0,T14,0))*0.9,10)</f>
        <v>0</v>
      </c>
      <c r="G33" s="33">
        <f>IF(AND(OR(M16&gt;0,Q16&gt;0),S16&gt;0),MROUND((Z20-Z23)*D33,10),0)</f>
        <v>0</v>
      </c>
      <c r="H33" s="33"/>
      <c r="I33" s="33"/>
      <c r="J33" s="33"/>
      <c r="K33" s="33"/>
      <c r="L33" s="33">
        <f>N33</f>
        <v>0</v>
      </c>
      <c r="M33" s="33">
        <f>SUMIFS(T7:T14,M7:M14,"&gt;0")</f>
        <v>0</v>
      </c>
      <c r="N33" s="33">
        <f>SUMIF(M7:M14,"&gt;0",T7:T14)</f>
        <v>0</v>
      </c>
      <c r="O33" s="359" t="str">
        <f>IF((SUM(Y17:AA17)=K17),"","ERROR !!!  PLEASE CHECK  SUM OF INTIAL  614&amp;618 LINE CUMMULATIVE")</f>
        <v/>
      </c>
      <c r="P33" s="227"/>
      <c r="Q33" s="227"/>
      <c r="R33" s="227"/>
      <c r="S33" s="227"/>
      <c r="T33" s="227"/>
      <c r="U33" s="227"/>
      <c r="V33" s="360"/>
      <c r="W33" s="360"/>
      <c r="X33" s="360"/>
      <c r="Y33" s="360"/>
      <c r="Z33" s="361"/>
      <c r="AA33" s="27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</row>
    <row r="34" ht="15.75" customHeight="1">
      <c r="A34" s="199"/>
      <c r="B34" s="199"/>
      <c r="C34" s="362"/>
      <c r="D34" s="199"/>
      <c r="E34" s="199"/>
      <c r="F34" s="199"/>
      <c r="G34" s="199"/>
      <c r="H34" s="199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199"/>
      <c r="V34" s="199"/>
      <c r="W34" s="199"/>
      <c r="X34" s="199"/>
      <c r="Y34" s="199"/>
      <c r="Z34" s="363"/>
      <c r="AA34" s="363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</row>
    <row r="35" ht="15.75" customHeight="1">
      <c r="A35" s="199"/>
      <c r="B35" s="199"/>
      <c r="C35" s="362"/>
      <c r="D35" s="199"/>
      <c r="E35" s="199"/>
      <c r="F35" s="199"/>
      <c r="G35" s="199"/>
      <c r="H35" s="199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199"/>
      <c r="V35" s="199"/>
      <c r="W35" s="199"/>
      <c r="X35" s="199"/>
      <c r="Y35" s="199"/>
      <c r="Z35" s="363"/>
      <c r="AA35" s="363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</row>
    <row r="36" ht="15.75" customHeight="1">
      <c r="A36" s="199"/>
      <c r="B36" s="199"/>
      <c r="C36" s="364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65"/>
      <c r="Y36" s="365"/>
      <c r="Z36" s="365"/>
      <c r="AA36" s="365"/>
      <c r="AB36" s="365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</row>
    <row r="37" ht="15.75" customHeight="1">
      <c r="A37" s="199"/>
      <c r="B37" s="199"/>
      <c r="C37" s="362"/>
      <c r="D37" s="199"/>
      <c r="E37" s="199"/>
      <c r="F37" s="199"/>
      <c r="G37" s="199"/>
      <c r="H37" s="199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366"/>
      <c r="V37" s="366"/>
      <c r="W37" s="366"/>
      <c r="X37" s="366"/>
      <c r="Y37" s="199"/>
      <c r="Z37" s="26"/>
      <c r="AA37" s="367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</row>
    <row r="38" ht="15.75" customHeight="1">
      <c r="A38" s="199"/>
      <c r="B38" s="199"/>
      <c r="C38" s="362"/>
      <c r="D38" s="199"/>
      <c r="E38" s="199"/>
      <c r="F38" s="199"/>
      <c r="G38" s="199"/>
      <c r="H38" s="199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366"/>
      <c r="V38" s="366"/>
      <c r="W38" s="366"/>
      <c r="X38" s="366"/>
      <c r="Y38" s="199"/>
      <c r="Z38" s="26"/>
      <c r="AA38" s="367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</row>
    <row r="39" ht="15.75" customHeight="1">
      <c r="A39" s="199"/>
      <c r="B39" s="199"/>
      <c r="C39" s="362"/>
      <c r="D39" s="199"/>
      <c r="E39" s="199"/>
      <c r="F39" s="199"/>
      <c r="G39" s="199"/>
      <c r="H39" s="199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366"/>
      <c r="V39" s="366"/>
      <c r="W39" s="366"/>
      <c r="X39" s="366"/>
      <c r="Y39" s="199"/>
      <c r="Z39" s="26"/>
      <c r="AA39" s="367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</row>
    <row r="40" ht="15.75" customHeight="1">
      <c r="A40" s="199"/>
      <c r="B40" s="199"/>
      <c r="C40" s="368"/>
      <c r="D40" s="369"/>
      <c r="E40" s="226"/>
      <c r="F40" s="369">
        <v>43.0</v>
      </c>
      <c r="G40" s="226"/>
      <c r="H40" s="369" t="s">
        <v>200</v>
      </c>
      <c r="I40" s="226"/>
      <c r="J40" s="369">
        <v>78.0</v>
      </c>
      <c r="K40" s="226"/>
      <c r="L40" s="26"/>
      <c r="M40" s="26"/>
      <c r="N40" s="26"/>
      <c r="O40" s="26"/>
      <c r="P40" s="26"/>
      <c r="Q40" s="26"/>
      <c r="R40" s="26"/>
      <c r="S40" s="26"/>
      <c r="T40" s="366"/>
      <c r="U40" s="366"/>
      <c r="V40" s="366"/>
      <c r="W40" s="366"/>
      <c r="X40" s="199"/>
      <c r="Y40" s="26"/>
      <c r="Z40" s="367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ht="15.75" customHeight="1">
      <c r="A41" s="199"/>
      <c r="B41" s="199"/>
      <c r="C41" s="370">
        <v>0.25</v>
      </c>
      <c r="D41" s="371">
        <f>SUM(K15,M15)</f>
        <v>173590</v>
      </c>
      <c r="E41" s="54"/>
      <c r="F41" s="371">
        <f>SUM(O15,Q15)</f>
        <v>58460</v>
      </c>
      <c r="G41" s="54"/>
      <c r="H41" s="371">
        <f>S15</f>
        <v>24640</v>
      </c>
      <c r="I41" s="54"/>
      <c r="J41" s="372">
        <f>U15</f>
        <v>416900</v>
      </c>
      <c r="K41" s="373"/>
      <c r="L41" s="373"/>
      <c r="M41" s="26"/>
      <c r="N41" s="26"/>
      <c r="O41" s="26"/>
      <c r="P41" s="26"/>
      <c r="Q41" s="26"/>
      <c r="R41" s="26"/>
      <c r="S41" s="26"/>
      <c r="T41" s="366"/>
      <c r="U41" s="366"/>
      <c r="V41" s="366"/>
      <c r="W41" s="366"/>
      <c r="X41" s="199"/>
      <c r="Y41" s="367"/>
      <c r="Z41" s="367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ht="15.75" customHeight="1">
      <c r="A42" s="199"/>
      <c r="B42" s="199"/>
      <c r="C42" s="362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26"/>
      <c r="S42" s="26"/>
      <c r="T42" s="26"/>
      <c r="U42" s="26"/>
      <c r="V42" s="26"/>
      <c r="W42" s="26"/>
      <c r="X42" s="26"/>
      <c r="Y42" s="26"/>
      <c r="Z42" s="26"/>
      <c r="AA42" s="199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</row>
    <row r="43" ht="15.75" customHeight="1">
      <c r="A43" s="199"/>
      <c r="B43" s="199"/>
      <c r="C43" s="368"/>
      <c r="D43" s="369"/>
      <c r="E43" s="226"/>
      <c r="F43" s="369">
        <v>43.0</v>
      </c>
      <c r="G43" s="226"/>
      <c r="H43" s="369" t="s">
        <v>200</v>
      </c>
      <c r="I43" s="226"/>
      <c r="J43" s="374">
        <v>78.0</v>
      </c>
      <c r="K43" s="141">
        <v>614.0</v>
      </c>
      <c r="L43" s="141">
        <v>618.0</v>
      </c>
      <c r="M43" s="375" t="s">
        <v>191</v>
      </c>
      <c r="N43" s="375" t="s">
        <v>192</v>
      </c>
      <c r="O43" s="375" t="s">
        <v>193</v>
      </c>
      <c r="P43" s="375" t="s">
        <v>194</v>
      </c>
      <c r="Q43" s="375" t="s">
        <v>195</v>
      </c>
      <c r="R43" s="199"/>
      <c r="S43" s="26"/>
      <c r="T43" s="26"/>
      <c r="U43" s="26"/>
      <c r="V43" s="26"/>
      <c r="W43" s="376"/>
      <c r="X43" s="376"/>
      <c r="Y43" s="375" t="s">
        <v>191</v>
      </c>
      <c r="Z43" s="375" t="s">
        <v>192</v>
      </c>
      <c r="AA43" s="375" t="s">
        <v>193</v>
      </c>
      <c r="AB43" s="375" t="s">
        <v>194</v>
      </c>
      <c r="AC43" s="375" t="s">
        <v>195</v>
      </c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</row>
    <row r="44" ht="15.75" customHeight="1">
      <c r="A44" s="199"/>
      <c r="B44" s="199"/>
      <c r="C44" s="370">
        <v>0.25</v>
      </c>
      <c r="D44" s="371">
        <f>VLOOKUP(C44,INTIAL1,7,0)</f>
        <v>0</v>
      </c>
      <c r="E44" s="54"/>
      <c r="F44" s="371">
        <f>VLOOKUP(C44,INTIAL1,9,0)</f>
        <v>0</v>
      </c>
      <c r="G44" s="54"/>
      <c r="H44" s="371">
        <f>VLOOKUP(C44,INTIAL1,11,0)</f>
        <v>0</v>
      </c>
      <c r="I44" s="54"/>
      <c r="J44" s="372">
        <f>VLOOKUP(C44,INTIAL1,12,0)</f>
        <v>0</v>
      </c>
      <c r="K44" s="377">
        <f>VLOOKUP(C44,INTIAL1,13,0)</f>
        <v>0</v>
      </c>
      <c r="L44" s="377">
        <f>VLOOKUP(C44,INTIAL1,14,0)</f>
        <v>0</v>
      </c>
      <c r="M44" s="377">
        <f>VLOOKUP(C44,INTIAL1,2,0)</f>
        <v>0</v>
      </c>
      <c r="N44" s="377">
        <f>VLOOKUP(C44,INTIAL1,3,0)</f>
        <v>0</v>
      </c>
      <c r="O44" s="377">
        <f>VLOOKUP(C44,INTIAL1,4,0)</f>
        <v>0</v>
      </c>
      <c r="P44" s="377">
        <f>VLOOKUP(C44,INTIAL1,5,0)</f>
        <v>0</v>
      </c>
      <c r="Q44" s="378">
        <f>VLOOKUP(C44,INTIAL1,6,0)</f>
        <v>0</v>
      </c>
      <c r="R44" s="379"/>
      <c r="S44" s="26"/>
      <c r="T44" s="26"/>
      <c r="U44" s="26"/>
      <c r="V44" s="26"/>
      <c r="W44" s="26"/>
      <c r="X44" s="26"/>
      <c r="Y44" s="26"/>
      <c r="Z44" s="26"/>
      <c r="AA44" s="26"/>
      <c r="AB44" s="26"/>
      <c r="AD44" s="26"/>
      <c r="AE44" s="26" t="s">
        <v>243</v>
      </c>
      <c r="AF44" s="26" t="s">
        <v>244</v>
      </c>
      <c r="AG44" s="26" t="s">
        <v>245</v>
      </c>
      <c r="AH44" s="26" t="s">
        <v>246</v>
      </c>
      <c r="AI44" s="26" t="s">
        <v>247</v>
      </c>
      <c r="AJ44" s="26"/>
      <c r="AK44" s="26"/>
      <c r="AL44" s="26"/>
      <c r="AM44" s="26"/>
      <c r="AN44" s="26" t="s">
        <v>248</v>
      </c>
      <c r="AO44" s="26"/>
    </row>
    <row r="45" ht="15.75" customHeight="1">
      <c r="A45" s="199"/>
      <c r="B45" s="199"/>
      <c r="C45" s="370">
        <v>0.2916666666666667</v>
      </c>
      <c r="D45" s="380">
        <f>MROUND(VLOOKUP($C$45:$C$52,INITIAL_READIND,7,0),10)</f>
        <v>0</v>
      </c>
      <c r="E45" s="380">
        <f>MROUND(VLOOKUP($C$45:$C$52,INITIAL_READIND,8,0),10)</f>
        <v>0</v>
      </c>
      <c r="F45" s="380">
        <f>MROUND(VLOOKUP($C$45:$C$52,INITIAL_READIND,9,0),10)</f>
        <v>0</v>
      </c>
      <c r="G45" s="380">
        <f>MROUND(VLOOKUP($C$45:$C$52,INITIAL_READIND,10,0),10)</f>
        <v>0</v>
      </c>
      <c r="H45" s="380">
        <f>MROUND(VLOOKUP($C$45:$C$52,INITIAL_READIND,11,0),10)</f>
        <v>0</v>
      </c>
      <c r="I45" s="380"/>
      <c r="J45" s="380">
        <f>MROUND(VLOOKUP($C$45:$C$52,INITIAL_READIND,12,0),10)</f>
        <v>0</v>
      </c>
      <c r="K45" s="380">
        <f>MROUND(VLOOKUP($C$45:$C$52,INITIAL_READIND,13,0),10)</f>
        <v>0</v>
      </c>
      <c r="L45" s="380">
        <f>MROUND(VLOOKUP($C$45:$C$52,INITIAL_READIND,14,0),10)</f>
        <v>0</v>
      </c>
      <c r="M45" s="380">
        <f>MROUND(VLOOKUP($C$45:$C$52,INITIAL_READIND,2,0),10)</f>
        <v>0</v>
      </c>
      <c r="N45" s="380">
        <f>MROUND(VLOOKUP($C$45:$C$52,INITIAL_READIND,3,0),10)</f>
        <v>0</v>
      </c>
      <c r="O45" s="380">
        <f>MROUND(VLOOKUP($C$45:$C$52,INITIAL_READIND,4,0),10)</f>
        <v>0</v>
      </c>
      <c r="P45" s="381">
        <f>MROUND(VLOOKUP($C$45:$C$52,INITIAL_READIND,5,0),10)</f>
        <v>0</v>
      </c>
      <c r="Q45" s="382">
        <f>MROUND(VLOOKUP($C$45:$C$52,INITIAL_READIND,6,0),10)</f>
        <v>0</v>
      </c>
      <c r="R45" s="383">
        <f>VLOOKUP($C$45:$C$52,INITIAL_READIND,15,0)</f>
        <v>0</v>
      </c>
      <c r="S45" s="384">
        <f>VLOOKUP($C$45:$C$52,INITIAL_READIND,15,0)</f>
        <v>0</v>
      </c>
      <c r="T45" s="384" t="str">
        <f>VLOOKUP($C$45:$C$52,INITIAL_READIND,14,0)</f>
        <v/>
      </c>
      <c r="U45" s="59">
        <f t="shared" ref="U45:U52" si="21">SUM(D45:P45)</f>
        <v>0</v>
      </c>
      <c r="V45" s="54"/>
      <c r="W45" s="385" t="s">
        <v>249</v>
      </c>
      <c r="X45" s="386" t="s">
        <v>250</v>
      </c>
      <c r="Y45" s="387">
        <f>IF(AND(M45&gt;M44,M45&lt;&gt;0),M45-$M$44,0)</f>
        <v>0</v>
      </c>
      <c r="Z45" s="387">
        <f>IF(AND(N45&gt;N44,N45&lt;&gt;0),N45-$N$44,0)</f>
        <v>0</v>
      </c>
      <c r="AA45" s="387">
        <f>IF(AND(O45&gt;O44,O45&lt;&gt;0),O45-$O$44,0)</f>
        <v>0</v>
      </c>
      <c r="AB45" s="387">
        <f>IF(AND(P45&gt;P44,P45&lt;&gt;0),P45-$P$44,0)</f>
        <v>0</v>
      </c>
      <c r="AC45" s="387">
        <f>IF(AND(Q45&gt;Q44,Q45&lt;&gt;0),Q45-$Q$44,0)</f>
        <v>0</v>
      </c>
      <c r="AD45" s="374" t="str">
        <f t="shared" ref="AD45:AD52" si="22">CONCATENATE(Y45,Z45,AA45,AB45)</f>
        <v>0000</v>
      </c>
      <c r="AE45" s="54">
        <f t="shared" ref="AE45:AE52" si="23">IF(D45=0,0,IF(AD45="A",AI45,MROUND(AI45*D45,10)))</f>
        <v>0</v>
      </c>
      <c r="AF45" s="54">
        <f t="shared" ref="AF45:AF52" si="24">IF(E45=0,0,IF(AD45="B",AI45,IF(AD45="AB",AI45-AE45,IF(OR(AD45="BC",AD45="BCD",AD45="BD",AD45="B",AD45="ABC",AD45="ABD",AD45="ABCD"),MROUND(AI45*E45,10),0))))</f>
        <v>0</v>
      </c>
      <c r="AG45" s="54">
        <f t="shared" ref="AG45:AG52" si="25">IF(F45=0,0,IF(AD45="C",AI45,IF(AD45="ABC",SUM(AI45,-AE45,-AF45),IF(AD45="AC",AI45-AE45,IF(AD45="BC",AI45-AF45,IF(OR(AD45="C",AD45="CD",AD45="ABCD",AD45="ACD",AD45="BCD"),MROUND(AI45*F45,10),0))))))</f>
        <v>0</v>
      </c>
      <c r="AH45" s="54">
        <f t="shared" ref="AH45:AH52" si="26">IF(G45=0,0,IF(AD45="D",AI45,IF(AD45="ABCD",AI45-(AE45+AF45+AG45),IF(AD45="ABD",AI45-(AE45+AF45),IF(AD45="ACD",AI45-(AE45+AG45),IF(AD45="BCD",AI45-(AF45+AG45),IF(AD45="AD",AI45-AE45,IF(AD45="BD",AI45-AF45,IF(AD45="CD",AI45-AG45,IF(AD45="D",AI45,0))))))))))</f>
        <v>0</v>
      </c>
      <c r="AI45" s="388">
        <f t="shared" ref="AI45:AI52" si="27">J7</f>
        <v>0</v>
      </c>
      <c r="AJ45" s="54">
        <f>IF(AN45=0,0,AE45)</f>
        <v>0</v>
      </c>
      <c r="AK45" s="54">
        <f>IF(AN45=0,0,AF45)</f>
        <v>0</v>
      </c>
      <c r="AL45" s="54">
        <f>IF(AN45=0,0,AG45)</f>
        <v>0</v>
      </c>
      <c r="AM45" s="54">
        <f>IF(AN45=0,0,AH45)</f>
        <v>0</v>
      </c>
      <c r="AN45" s="389">
        <f t="shared" ref="AN45:AN52" si="28">I7</f>
        <v>0</v>
      </c>
      <c r="AO45" s="26"/>
    </row>
    <row r="46" ht="15.75" customHeight="1">
      <c r="A46" s="199"/>
      <c r="B46" s="199"/>
      <c r="C46" s="370">
        <v>0.333333333333333</v>
      </c>
      <c r="D46" s="380">
        <f>MROUND(VLOOKUP($C$45:$C$52,INITIAL_READIND,7,0),10)</f>
        <v>0</v>
      </c>
      <c r="E46" s="380">
        <f>MROUND(VLOOKUP($C$45:$C$52,INITIAL_READIND,8,0),10)</f>
        <v>0</v>
      </c>
      <c r="F46" s="380">
        <f>MROUND(VLOOKUP($C$45:$C$52,INITIAL_READIND,9,0),10)</f>
        <v>0</v>
      </c>
      <c r="G46" s="380">
        <f>MROUND(VLOOKUP($C$45:$C$52,INITIAL_READIND,10,0),10)</f>
        <v>0</v>
      </c>
      <c r="H46" s="380">
        <f>MROUND(VLOOKUP($C$45:$C$52,INITIAL_READIND,11,0),10)</f>
        <v>0</v>
      </c>
      <c r="I46" s="380"/>
      <c r="J46" s="380">
        <f>MROUND(VLOOKUP($C$45:$C$52,INITIAL_READIND,12,0),10)</f>
        <v>0</v>
      </c>
      <c r="K46" s="380">
        <f>MROUND(VLOOKUP($C$45:$C$52,INITIAL_READIND,13,0),10)</f>
        <v>0</v>
      </c>
      <c r="L46" s="380">
        <f>MROUND(VLOOKUP($C$45:$C$52,INITIAL_READIND,14,0),10)</f>
        <v>0</v>
      </c>
      <c r="M46" s="380">
        <f>MROUND(VLOOKUP($C$45:$C$52,INITIAL_READIND,2,0),10)</f>
        <v>0</v>
      </c>
      <c r="N46" s="380">
        <f>MROUND(VLOOKUP($C$45:$C$52,INITIAL_READIND,3,0),10)</f>
        <v>0</v>
      </c>
      <c r="O46" s="380">
        <f>MROUND(VLOOKUP($C$45:$C$52,INITIAL_READIND,4,0),10)</f>
        <v>0</v>
      </c>
      <c r="P46" s="381">
        <f>MROUND(VLOOKUP($C$45:$C$52,INITIAL_READIND,5,0),10)</f>
        <v>0</v>
      </c>
      <c r="Q46" s="382">
        <f>MROUND(VLOOKUP($C$45:$C$52,INITIAL_READIND,6,0),10)</f>
        <v>0</v>
      </c>
      <c r="R46" s="383">
        <f>VLOOKUP($C$45:$C$52,INITIAL_READIND,15,0)</f>
        <v>0</v>
      </c>
      <c r="S46" s="384">
        <f>VLOOKUP($C$45:$C$52,INITIAL_READIND,15,0)</f>
        <v>0</v>
      </c>
      <c r="T46" s="390" t="str">
        <f>VLOOKUP(C46:C53,INITIAL_READIND,14,0)</f>
        <v/>
      </c>
      <c r="U46" s="59">
        <f t="shared" si="21"/>
        <v>0</v>
      </c>
      <c r="V46" s="55"/>
      <c r="W46" s="380" t="s">
        <v>233</v>
      </c>
      <c r="X46" s="391">
        <f>MROUND(VLOOKUP($W$46:$W$54,NP_SYSTEM,2,0),10)</f>
        <v>0</v>
      </c>
      <c r="Y46" s="392">
        <f t="shared" ref="Y46:Y52" si="29">IF(AND(M46&gt;M45,M46&lt;&gt;0),M46-MAX($M$44:M45),0)</f>
        <v>0</v>
      </c>
      <c r="Z46" s="392">
        <f t="shared" ref="Z46:Z53" si="30">IF(AND(N46&gt;N45,N46&lt;&gt;0),N46-MAX($N$44:N45),0)</f>
        <v>0</v>
      </c>
      <c r="AA46" s="392">
        <f t="shared" ref="AA46:AA53" si="31">IF(AND(O46&gt;O45,O46&lt;&gt;0),O46-MAX($O$44:O45),0)</f>
        <v>0</v>
      </c>
      <c r="AB46" s="392">
        <f t="shared" ref="AB46:AB53" si="32">IF(AND(P46&gt;P45,P46&lt;&gt;0),P46-MAX($P$44:P45),0)</f>
        <v>0</v>
      </c>
      <c r="AC46" s="392">
        <f t="shared" ref="AC46:AC53" si="33">IF(AND(Q46&gt;Q45,Q46&lt;&gt;0),Q46-MAX($Q$44:Q45),0)</f>
        <v>0</v>
      </c>
      <c r="AD46" s="374" t="str">
        <f t="shared" si="22"/>
        <v>0000</v>
      </c>
      <c r="AE46" s="54">
        <f t="shared" si="23"/>
        <v>0</v>
      </c>
      <c r="AF46" s="54">
        <f t="shared" si="24"/>
        <v>0</v>
      </c>
      <c r="AG46" s="54">
        <f t="shared" si="25"/>
        <v>0</v>
      </c>
      <c r="AH46" s="54">
        <f t="shared" si="26"/>
        <v>0</v>
      </c>
      <c r="AI46" s="388">
        <f t="shared" si="27"/>
        <v>0</v>
      </c>
      <c r="AJ46" s="54">
        <f>IF(AN46=0,0,SUM(AE45:AE46))</f>
        <v>0</v>
      </c>
      <c r="AK46" s="54">
        <f>IF(AN46=0,0,SUM(AF45:AF46))</f>
        <v>0</v>
      </c>
      <c r="AL46" s="54">
        <f>IF(AN46=0,0,SUM(AG45:AG46))</f>
        <v>0</v>
      </c>
      <c r="AM46" s="54">
        <f>IF(AN46=0,0,SUM(AH45:AH46))</f>
        <v>0</v>
      </c>
      <c r="AN46" s="389">
        <f t="shared" si="28"/>
        <v>0</v>
      </c>
      <c r="AO46" s="26"/>
    </row>
    <row r="47" ht="15.75" customHeight="1">
      <c r="A47" s="199"/>
      <c r="B47" s="199"/>
      <c r="C47" s="370">
        <v>0.375</v>
      </c>
      <c r="D47" s="380">
        <f>MROUND(VLOOKUP($C$45:$C$52,INITIAL_READIND,7,0),10)</f>
        <v>0</v>
      </c>
      <c r="E47" s="380">
        <f>MROUND(VLOOKUP($C$45:$C$52,INITIAL_READIND,8,0),10)</f>
        <v>0</v>
      </c>
      <c r="F47" s="380">
        <f>MROUND(VLOOKUP($C$45:$C$52,INITIAL_READIND,9,0),10)</f>
        <v>0</v>
      </c>
      <c r="G47" s="380">
        <f>MROUND(VLOOKUP($C$45:$C$52,INITIAL_READIND,10,0),10)</f>
        <v>0</v>
      </c>
      <c r="H47" s="380">
        <f>MROUND(VLOOKUP($C$45:$C$52,INITIAL_READIND,11,0),10)</f>
        <v>0</v>
      </c>
      <c r="I47" s="380"/>
      <c r="J47" s="380">
        <f>MROUND(VLOOKUP($C$45:$C$52,INITIAL_READIND,12,0),10)</f>
        <v>0</v>
      </c>
      <c r="K47" s="380">
        <f>MROUND(VLOOKUP($C$45:$C$52,INITIAL_READIND,13,0),10)</f>
        <v>0</v>
      </c>
      <c r="L47" s="380">
        <f>MROUND(VLOOKUP($C$45:$C$52,INITIAL_READIND,14,0),10)</f>
        <v>0</v>
      </c>
      <c r="M47" s="380">
        <f>MROUND(VLOOKUP($C$45:$C$52,INITIAL_READIND,2,0),10)</f>
        <v>0</v>
      </c>
      <c r="N47" s="380">
        <f>MROUND(VLOOKUP($C$45:$C$52,INITIAL_READIND,3,0),10)</f>
        <v>0</v>
      </c>
      <c r="O47" s="380">
        <f>MROUND(VLOOKUP($C$45:$C$52,INITIAL_READIND,4,0),10)</f>
        <v>0</v>
      </c>
      <c r="P47" s="381">
        <f>MROUND(VLOOKUP($C$45:$C$52,INITIAL_READIND,5,0),10)</f>
        <v>0</v>
      </c>
      <c r="Q47" s="382">
        <f>MROUND(VLOOKUP($C$45:$C$52,INITIAL_READIND,6,0),10)</f>
        <v>0</v>
      </c>
      <c r="R47" s="383">
        <f>VLOOKUP($C$45:$C$52,INITIAL_READIND,15,0)</f>
        <v>0</v>
      </c>
      <c r="S47" s="384">
        <f>VLOOKUP($C$45:$C$52,INITIAL_READIND,15,0)</f>
        <v>0</v>
      </c>
      <c r="T47" s="390" t="str">
        <f>VLOOKUP(C47:C54,INITIAL_READIND,14,0)</f>
        <v/>
      </c>
      <c r="U47" s="59">
        <f t="shared" si="21"/>
        <v>0</v>
      </c>
      <c r="V47" s="55"/>
      <c r="W47" s="380" t="s">
        <v>235</v>
      </c>
      <c r="X47" s="391">
        <f>MROUND(VLOOKUP($W$46:$W$54,NP_SYSTEM,2,0),10)</f>
        <v>0</v>
      </c>
      <c r="Y47" s="392">
        <f t="shared" si="29"/>
        <v>0</v>
      </c>
      <c r="Z47" s="392">
        <f t="shared" si="30"/>
        <v>0</v>
      </c>
      <c r="AA47" s="392">
        <f t="shared" si="31"/>
        <v>0</v>
      </c>
      <c r="AB47" s="392">
        <f t="shared" si="32"/>
        <v>0</v>
      </c>
      <c r="AC47" s="392">
        <f t="shared" si="33"/>
        <v>0</v>
      </c>
      <c r="AD47" s="374" t="str">
        <f t="shared" si="22"/>
        <v>0000</v>
      </c>
      <c r="AE47" s="54">
        <f t="shared" si="23"/>
        <v>0</v>
      </c>
      <c r="AF47" s="54">
        <f t="shared" si="24"/>
        <v>0</v>
      </c>
      <c r="AG47" s="54">
        <f t="shared" si="25"/>
        <v>0</v>
      </c>
      <c r="AH47" s="54">
        <f t="shared" si="26"/>
        <v>0</v>
      </c>
      <c r="AI47" s="388">
        <f t="shared" si="27"/>
        <v>0</v>
      </c>
      <c r="AJ47" s="54">
        <f>IF(AN47=0,0,SUM(AE45:AE47))</f>
        <v>0</v>
      </c>
      <c r="AK47" s="54">
        <f>IF(AN47=0,0,SUM(AF45:AF47))</f>
        <v>0</v>
      </c>
      <c r="AL47" s="54">
        <f>IF(AN47=0,0,SUM(AG45:AG47))</f>
        <v>0</v>
      </c>
      <c r="AM47" s="54">
        <f>IF(AN47=0,0,SUM(AH45:AH47))</f>
        <v>0</v>
      </c>
      <c r="AN47" s="389">
        <f t="shared" si="28"/>
        <v>0</v>
      </c>
      <c r="AO47" s="26"/>
    </row>
    <row r="48" ht="15.75" customHeight="1">
      <c r="A48" s="199"/>
      <c r="B48" s="199"/>
      <c r="C48" s="370">
        <v>0.416666666666667</v>
      </c>
      <c r="D48" s="380">
        <f>MROUND(VLOOKUP($C$45:$C$52,INITIAL_READIND,7,0),10)</f>
        <v>0</v>
      </c>
      <c r="E48" s="380">
        <f>MROUND(VLOOKUP($C$45:$C$52,INITIAL_READIND,8,0),10)</f>
        <v>0</v>
      </c>
      <c r="F48" s="380">
        <f>MROUND(VLOOKUP($C$45:$C$52,INITIAL_READIND,9,0),10)</f>
        <v>0</v>
      </c>
      <c r="G48" s="380">
        <f>MROUND(VLOOKUP($C$45:$C$52,INITIAL_READIND,10,0),10)</f>
        <v>0</v>
      </c>
      <c r="H48" s="380">
        <f>MROUND(VLOOKUP($C$45:$C$52,INITIAL_READIND,11,0),10)</f>
        <v>0</v>
      </c>
      <c r="I48" s="380"/>
      <c r="J48" s="380">
        <f>MROUND(VLOOKUP($C$45:$C$52,INITIAL_READIND,12,0),10)</f>
        <v>0</v>
      </c>
      <c r="K48" s="380">
        <f>MROUND(VLOOKUP($C$45:$C$52,INITIAL_READIND,13,0),10)</f>
        <v>0</v>
      </c>
      <c r="L48" s="380">
        <f>MROUND(VLOOKUP($C$45:$C$52,INITIAL_READIND,14,0),10)</f>
        <v>0</v>
      </c>
      <c r="M48" s="380">
        <f>MROUND(VLOOKUP($C$45:$C$52,INITIAL_READIND,2,0),10)</f>
        <v>0</v>
      </c>
      <c r="N48" s="380">
        <f>MROUND(VLOOKUP($C$45:$C$52,INITIAL_READIND,3,0),10)</f>
        <v>0</v>
      </c>
      <c r="O48" s="380">
        <f>MROUND(VLOOKUP($C$45:$C$52,INITIAL_READIND,4,0),10)</f>
        <v>0</v>
      </c>
      <c r="P48" s="381">
        <f>MROUND(VLOOKUP($C$45:$C$52,INITIAL_READIND,5,0),10)</f>
        <v>0</v>
      </c>
      <c r="Q48" s="382">
        <f>MROUND(VLOOKUP($C$45:$C$52,INITIAL_READIND,6,0),10)</f>
        <v>0</v>
      </c>
      <c r="R48" s="383">
        <f>VLOOKUP($C$45:$C$52,INITIAL_READIND,15,0)</f>
        <v>0</v>
      </c>
      <c r="S48" s="384">
        <f>VLOOKUP($C$45:$C$52,INITIAL_READIND,15,0)</f>
        <v>0</v>
      </c>
      <c r="T48" s="390" t="str">
        <f>VLOOKUP(C48:C55,INITIAL_READIND,14,0)</f>
        <v/>
      </c>
      <c r="U48" s="59">
        <f t="shared" si="21"/>
        <v>0</v>
      </c>
      <c r="V48" s="55"/>
      <c r="W48" s="380" t="s">
        <v>229</v>
      </c>
      <c r="X48" s="391">
        <f>MROUND(VLOOKUP($W$46:$W$54,NP_SYSTEM,2,0),10)</f>
        <v>0</v>
      </c>
      <c r="Y48" s="392">
        <f t="shared" si="29"/>
        <v>0</v>
      </c>
      <c r="Z48" s="392">
        <f t="shared" si="30"/>
        <v>0</v>
      </c>
      <c r="AA48" s="392">
        <f t="shared" si="31"/>
        <v>0</v>
      </c>
      <c r="AB48" s="392">
        <f t="shared" si="32"/>
        <v>0</v>
      </c>
      <c r="AC48" s="392">
        <f t="shared" si="33"/>
        <v>0</v>
      </c>
      <c r="AD48" s="374" t="str">
        <f t="shared" si="22"/>
        <v>0000</v>
      </c>
      <c r="AE48" s="54">
        <f t="shared" si="23"/>
        <v>0</v>
      </c>
      <c r="AF48" s="54">
        <f t="shared" si="24"/>
        <v>0</v>
      </c>
      <c r="AG48" s="54">
        <f t="shared" si="25"/>
        <v>0</v>
      </c>
      <c r="AH48" s="54">
        <f t="shared" si="26"/>
        <v>0</v>
      </c>
      <c r="AI48" s="388">
        <f t="shared" si="27"/>
        <v>0</v>
      </c>
      <c r="AJ48" s="54">
        <f>IF(AN48=0,0,SUM(AE45:AE48))</f>
        <v>0</v>
      </c>
      <c r="AK48" s="54">
        <f>IF(AN48=0,0,SUM(AF45:AF48))</f>
        <v>0</v>
      </c>
      <c r="AL48" s="54">
        <f>IF(AN48=0,0,SUM(AG45:AG48))</f>
        <v>0</v>
      </c>
      <c r="AM48" s="54">
        <f>IF(AN48=0,0,SUM(AH45:AH48))</f>
        <v>0</v>
      </c>
      <c r="AN48" s="389">
        <f t="shared" si="28"/>
        <v>0</v>
      </c>
      <c r="AO48" s="26"/>
    </row>
    <row r="49" ht="15.75" customHeight="1">
      <c r="A49" s="199"/>
      <c r="B49" s="199"/>
      <c r="C49" s="370">
        <v>0.458333333333333</v>
      </c>
      <c r="D49" s="380">
        <f>MROUND(VLOOKUP($C$45:$C$52,INITIAL_READIND,7,0),10)</f>
        <v>0</v>
      </c>
      <c r="E49" s="380">
        <f>MROUND(VLOOKUP($C$45:$C$52,INITIAL_READIND,8,0),10)</f>
        <v>0</v>
      </c>
      <c r="F49" s="380">
        <f>MROUND(VLOOKUP($C$45:$C$52,INITIAL_READIND,9,0),10)</f>
        <v>0</v>
      </c>
      <c r="G49" s="380">
        <f>MROUND(VLOOKUP($C$45:$C$52,INITIAL_READIND,10,0),10)</f>
        <v>0</v>
      </c>
      <c r="H49" s="380">
        <f>MROUND(VLOOKUP($C$45:$C$52,INITIAL_READIND,11,0),10)</f>
        <v>0</v>
      </c>
      <c r="I49" s="380"/>
      <c r="J49" s="380">
        <f>MROUND(VLOOKUP($C$45:$C$52,INITIAL_READIND,12,0),10)</f>
        <v>0</v>
      </c>
      <c r="K49" s="380">
        <f>MROUND(VLOOKUP($C$45:$C$52,INITIAL_READIND,13,0),10)</f>
        <v>0</v>
      </c>
      <c r="L49" s="380">
        <f>MROUND(VLOOKUP($C$45:$C$52,INITIAL_READIND,14,0),10)</f>
        <v>0</v>
      </c>
      <c r="M49" s="380">
        <f>MROUND(VLOOKUP($C$45:$C$52,INITIAL_READIND,2,0),10)</f>
        <v>0</v>
      </c>
      <c r="N49" s="380">
        <f>MROUND(VLOOKUP($C$45:$C$52,INITIAL_READIND,3,0),10)</f>
        <v>0</v>
      </c>
      <c r="O49" s="380">
        <f>MROUND(VLOOKUP($C$45:$C$52,INITIAL_READIND,4,0),10)</f>
        <v>0</v>
      </c>
      <c r="P49" s="381">
        <f>MROUND(VLOOKUP($C$45:$C$52,INITIAL_READIND,5,0),10)</f>
        <v>0</v>
      </c>
      <c r="Q49" s="382">
        <f>MROUND(VLOOKUP($C$45:$C$52,INITIAL_READIND,6,0),10)</f>
        <v>0</v>
      </c>
      <c r="R49" s="383">
        <f>VLOOKUP($C$45:$C$52,INITIAL_READIND,15,0)</f>
        <v>0</v>
      </c>
      <c r="S49" s="384">
        <f>VLOOKUP($C$45:$C$52,INITIAL_READIND,15,0)</f>
        <v>0</v>
      </c>
      <c r="T49" s="390" t="str">
        <f>VLOOKUP(C49:C56,INITIAL_READIND,14,0)</f>
        <v/>
      </c>
      <c r="U49" s="59">
        <f t="shared" si="21"/>
        <v>0</v>
      </c>
      <c r="V49" s="55"/>
      <c r="W49" s="380" t="s">
        <v>231</v>
      </c>
      <c r="X49" s="391">
        <f>MROUND(VLOOKUP($W$46:$W$54,NP_SYSTEM,2,0),10)</f>
        <v>0</v>
      </c>
      <c r="Y49" s="392">
        <f t="shared" si="29"/>
        <v>0</v>
      </c>
      <c r="Z49" s="392">
        <f t="shared" si="30"/>
        <v>0</v>
      </c>
      <c r="AA49" s="392">
        <f t="shared" si="31"/>
        <v>0</v>
      </c>
      <c r="AB49" s="392">
        <f t="shared" si="32"/>
        <v>0</v>
      </c>
      <c r="AC49" s="392">
        <f t="shared" si="33"/>
        <v>0</v>
      </c>
      <c r="AD49" s="374" t="str">
        <f t="shared" si="22"/>
        <v>0000</v>
      </c>
      <c r="AE49" s="54">
        <f t="shared" si="23"/>
        <v>0</v>
      </c>
      <c r="AF49" s="54">
        <f t="shared" si="24"/>
        <v>0</v>
      </c>
      <c r="AG49" s="54">
        <f t="shared" si="25"/>
        <v>0</v>
      </c>
      <c r="AH49" s="54">
        <f t="shared" si="26"/>
        <v>0</v>
      </c>
      <c r="AI49" s="388">
        <f t="shared" si="27"/>
        <v>0</v>
      </c>
      <c r="AJ49" s="54">
        <f>IF(AN49=0,0,SUM(AE45:AE49))</f>
        <v>0</v>
      </c>
      <c r="AK49" s="54">
        <f>IF(AN49=0,0,SUM(AF45:AF49))</f>
        <v>0</v>
      </c>
      <c r="AL49" s="54">
        <f>IF(AN49=0,0,SUM(AG45:AG49))</f>
        <v>0</v>
      </c>
      <c r="AM49" s="54">
        <f>IF(AN49=0,0,SUM(AH45:AH49))</f>
        <v>0</v>
      </c>
      <c r="AN49" s="389">
        <f t="shared" si="28"/>
        <v>0</v>
      </c>
      <c r="AO49" s="26"/>
    </row>
    <row r="50" ht="15.75" customHeight="1">
      <c r="A50" s="199"/>
      <c r="B50" s="199"/>
      <c r="C50" s="370">
        <v>0.5</v>
      </c>
      <c r="D50" s="380">
        <f>MROUND(VLOOKUP($C$45:$C$52,INITIAL_READIND,7,0),10)</f>
        <v>0</v>
      </c>
      <c r="E50" s="380">
        <f>MROUND(VLOOKUP($C$45:$C$52,INITIAL_READIND,8,0),10)</f>
        <v>0</v>
      </c>
      <c r="F50" s="380">
        <f>MROUND(VLOOKUP($C$45:$C$52,INITIAL_READIND,9,0),10)</f>
        <v>0</v>
      </c>
      <c r="G50" s="380">
        <f>MROUND(VLOOKUP($C$45:$C$52,INITIAL_READIND,10,0),10)</f>
        <v>0</v>
      </c>
      <c r="H50" s="380">
        <f>MROUND(VLOOKUP($C$45:$C$52,INITIAL_READIND,11,0),10)</f>
        <v>0</v>
      </c>
      <c r="I50" s="380"/>
      <c r="J50" s="380">
        <f>MROUND(VLOOKUP($C$45:$C$52,INITIAL_READIND,12,0),10)</f>
        <v>0</v>
      </c>
      <c r="K50" s="380">
        <f>MROUND(VLOOKUP($C$45:$C$52,INITIAL_READIND,13,0),10)</f>
        <v>0</v>
      </c>
      <c r="L50" s="380">
        <f>MROUND(VLOOKUP($C$45:$C$52,INITIAL_READIND,14,0),10)</f>
        <v>0</v>
      </c>
      <c r="M50" s="380">
        <f>MROUND(VLOOKUP($C$45:$C$52,INITIAL_READIND,2,0),10)</f>
        <v>0</v>
      </c>
      <c r="N50" s="380">
        <f>MROUND(VLOOKUP($C$45:$C$52,INITIAL_READIND,3,0),10)</f>
        <v>0</v>
      </c>
      <c r="O50" s="380">
        <f>MROUND(VLOOKUP($C$45:$C$52,INITIAL_READIND,4,0),10)</f>
        <v>0</v>
      </c>
      <c r="P50" s="381">
        <f>MROUND(VLOOKUP($C$45:$C$52,INITIAL_READIND,5,0),10)</f>
        <v>0</v>
      </c>
      <c r="Q50" s="382">
        <f>MROUND(VLOOKUP($C$45:$C$52,INITIAL_READIND,6,0),10)</f>
        <v>0</v>
      </c>
      <c r="R50" s="383">
        <f>VLOOKUP($C$45:$C$52,INITIAL_READIND,15,0)</f>
        <v>0</v>
      </c>
      <c r="S50" s="384">
        <f>VLOOKUP($C$45:$C$52,INITIAL_READIND,15,0)</f>
        <v>0</v>
      </c>
      <c r="T50" s="390" t="str">
        <f>VLOOKUP(C50:C57,INITIAL_READIND,14,0)</f>
        <v/>
      </c>
      <c r="U50" s="59">
        <f t="shared" si="21"/>
        <v>0</v>
      </c>
      <c r="V50" s="55"/>
      <c r="W50" s="393" t="s">
        <v>251</v>
      </c>
      <c r="X50" s="391">
        <f>MROUND(VLOOKUP($W$46:$W$54,NP_SYSTEM,2,0),10)</f>
        <v>0</v>
      </c>
      <c r="Y50" s="392">
        <f t="shared" si="29"/>
        <v>0</v>
      </c>
      <c r="Z50" s="392">
        <f t="shared" si="30"/>
        <v>0</v>
      </c>
      <c r="AA50" s="392">
        <f t="shared" si="31"/>
        <v>0</v>
      </c>
      <c r="AB50" s="392">
        <f t="shared" si="32"/>
        <v>0</v>
      </c>
      <c r="AC50" s="392">
        <f t="shared" si="33"/>
        <v>0</v>
      </c>
      <c r="AD50" s="374" t="str">
        <f t="shared" si="22"/>
        <v>0000</v>
      </c>
      <c r="AE50" s="54">
        <f t="shared" si="23"/>
        <v>0</v>
      </c>
      <c r="AF50" s="54">
        <f t="shared" si="24"/>
        <v>0</v>
      </c>
      <c r="AG50" s="54">
        <f t="shared" si="25"/>
        <v>0</v>
      </c>
      <c r="AH50" s="54">
        <f t="shared" si="26"/>
        <v>0</v>
      </c>
      <c r="AI50" s="388">
        <f t="shared" si="27"/>
        <v>0</v>
      </c>
      <c r="AJ50" s="54">
        <f>IF(AN50=0,0,SUM(AE45:AE50))</f>
        <v>0</v>
      </c>
      <c r="AK50" s="54">
        <f>IF(AN50=0,0,SUM(AF45:AF50))</f>
        <v>0</v>
      </c>
      <c r="AL50" s="54">
        <f>IF(AN50=0,0,SUM(AG45:AG50))</f>
        <v>0</v>
      </c>
      <c r="AM50" s="54">
        <f>IF(AN50=0,0,SUM(AH45:AH50))</f>
        <v>0</v>
      </c>
      <c r="AN50" s="389">
        <f t="shared" si="28"/>
        <v>0</v>
      </c>
      <c r="AO50" s="26"/>
    </row>
    <row r="51" ht="15.75" customHeight="1">
      <c r="A51" s="199"/>
      <c r="B51" s="199"/>
      <c r="C51" s="370">
        <v>0.541666666666667</v>
      </c>
      <c r="D51" s="380">
        <f>MROUND(VLOOKUP($C$45:$C$52,INITIAL_READIND,7,0),10)</f>
        <v>0</v>
      </c>
      <c r="E51" s="380">
        <f>MROUND(VLOOKUP($C$45:$C$52,INITIAL_READIND,8,0),10)</f>
        <v>0</v>
      </c>
      <c r="F51" s="380">
        <f>MROUND(VLOOKUP($C$45:$C$52,INITIAL_READIND,9,0),10)</f>
        <v>0</v>
      </c>
      <c r="G51" s="380">
        <f>MROUND(VLOOKUP($C$45:$C$52,INITIAL_READIND,10,0),10)</f>
        <v>0</v>
      </c>
      <c r="H51" s="380">
        <f>MROUND(VLOOKUP($C$45:$C$52,INITIAL_READIND,11,0),10)</f>
        <v>0</v>
      </c>
      <c r="I51" s="380"/>
      <c r="J51" s="380">
        <f>MROUND(VLOOKUP($C$45:$C$52,INITIAL_READIND,12,0),10)</f>
        <v>0</v>
      </c>
      <c r="K51" s="380">
        <f>MROUND(VLOOKUP($C$45:$C$52,INITIAL_READIND,13,0),10)</f>
        <v>0</v>
      </c>
      <c r="L51" s="380">
        <f>MROUND(VLOOKUP($C$45:$C$52,INITIAL_READIND,14,0),10)</f>
        <v>0</v>
      </c>
      <c r="M51" s="380">
        <f>MROUND(VLOOKUP($C$45:$C$52,INITIAL_READIND,2,0),10)</f>
        <v>0</v>
      </c>
      <c r="N51" s="380">
        <f>MROUND(VLOOKUP($C$45:$C$52,INITIAL_READIND,3,0),10)</f>
        <v>0</v>
      </c>
      <c r="O51" s="380">
        <f>MROUND(VLOOKUP($C$45:$C$52,INITIAL_READIND,4,0),10)</f>
        <v>0</v>
      </c>
      <c r="P51" s="381">
        <f>MROUND(VLOOKUP($C$45:$C$52,INITIAL_READIND,5,0),10)</f>
        <v>0</v>
      </c>
      <c r="Q51" s="382">
        <f>MROUND(VLOOKUP($C$45:$C$52,INITIAL_READIND,6,0),10)</f>
        <v>0</v>
      </c>
      <c r="R51" s="383">
        <f>VLOOKUP($C$45:$C$52,INITIAL_READIND,15,0)</f>
        <v>0</v>
      </c>
      <c r="S51" s="384">
        <f>VLOOKUP($C$45:$C$52,INITIAL_READIND,15,0)</f>
        <v>0</v>
      </c>
      <c r="T51" s="390" t="str">
        <f>VLOOKUP(C51:C58,INITIAL_READIND,14,0)</f>
        <v/>
      </c>
      <c r="U51" s="59">
        <f t="shared" si="21"/>
        <v>0</v>
      </c>
      <c r="V51" s="55"/>
      <c r="W51" s="393" t="s">
        <v>252</v>
      </c>
      <c r="X51" s="391">
        <f>MROUND(VLOOKUP($W$46:$W$54,NP_SYSTEM,2,0),10)</f>
        <v>0</v>
      </c>
      <c r="Y51" s="392">
        <f t="shared" si="29"/>
        <v>0</v>
      </c>
      <c r="Z51" s="392">
        <f t="shared" si="30"/>
        <v>0</v>
      </c>
      <c r="AA51" s="392">
        <f t="shared" si="31"/>
        <v>0</v>
      </c>
      <c r="AB51" s="392">
        <f t="shared" si="32"/>
        <v>0</v>
      </c>
      <c r="AC51" s="392">
        <f t="shared" si="33"/>
        <v>0</v>
      </c>
      <c r="AD51" s="374" t="str">
        <f t="shared" si="22"/>
        <v>0000</v>
      </c>
      <c r="AE51" s="54">
        <f t="shared" si="23"/>
        <v>0</v>
      </c>
      <c r="AF51" s="54">
        <f t="shared" si="24"/>
        <v>0</v>
      </c>
      <c r="AG51" s="54">
        <f t="shared" si="25"/>
        <v>0</v>
      </c>
      <c r="AH51" s="54">
        <f t="shared" si="26"/>
        <v>0</v>
      </c>
      <c r="AI51" s="388">
        <f t="shared" si="27"/>
        <v>0</v>
      </c>
      <c r="AJ51" s="54">
        <f>IF(AN51=0,0,SUM(AE45:AE51))</f>
        <v>0</v>
      </c>
      <c r="AK51" s="54">
        <f>IF(AN51=0,0,SUM(AF45:AF51))</f>
        <v>0</v>
      </c>
      <c r="AL51" s="54">
        <f>IF(AN51=0,0,SUM(AG45:AG51))</f>
        <v>0</v>
      </c>
      <c r="AM51" s="54">
        <f>IF(AN51=0,0,SUM(AH45:AH51))</f>
        <v>0</v>
      </c>
      <c r="AN51" s="389">
        <f t="shared" si="28"/>
        <v>0</v>
      </c>
      <c r="AO51" s="26"/>
    </row>
    <row r="52" ht="15.75" customHeight="1">
      <c r="A52" s="199"/>
      <c r="B52" s="199"/>
      <c r="C52" s="370">
        <v>0.583333333333333</v>
      </c>
      <c r="D52" s="380">
        <f>MROUND(VLOOKUP($C$45:$C$52,INITIAL_READIND,7,0),10)</f>
        <v>0</v>
      </c>
      <c r="E52" s="380">
        <f>MROUND(VLOOKUP($C$45:$C$52,INITIAL_READIND,8,0),10)</f>
        <v>0</v>
      </c>
      <c r="F52" s="380">
        <f>MROUND(VLOOKUP($C$45:$C$52,INITIAL_READIND,9,0),10)</f>
        <v>0</v>
      </c>
      <c r="G52" s="380">
        <f>MROUND(VLOOKUP($C$45:$C$52,INITIAL_READIND,10,0),10)</f>
        <v>0</v>
      </c>
      <c r="H52" s="380">
        <f>MROUND(VLOOKUP($C$45:$C$52,INITIAL_READIND,11,0),10)</f>
        <v>0</v>
      </c>
      <c r="I52" s="380"/>
      <c r="J52" s="380">
        <f>MROUND(VLOOKUP($C$45:$C$52,INITIAL_READIND,12,0),10)</f>
        <v>0</v>
      </c>
      <c r="K52" s="380">
        <f>MROUND(VLOOKUP($C$45:$C$52,INITIAL_READIND,13,0),10)</f>
        <v>0</v>
      </c>
      <c r="L52" s="380">
        <f>MROUND(VLOOKUP($C$45:$C$52,INITIAL_READIND,14,0),10)</f>
        <v>0</v>
      </c>
      <c r="M52" s="380">
        <f>MROUND(VLOOKUP($C$45:$C$52,INITIAL_READIND,2,0),10)</f>
        <v>0</v>
      </c>
      <c r="N52" s="380">
        <f>MROUND(VLOOKUP($C$45:$C$52,INITIAL_READIND,3,0),10)</f>
        <v>0</v>
      </c>
      <c r="O52" s="380">
        <f>MROUND(VLOOKUP($C$45:$C$52,INITIAL_READIND,4,0),10)</f>
        <v>0</v>
      </c>
      <c r="P52" s="381">
        <f>MROUND(VLOOKUP($C$45:$C$52,INITIAL_READIND,5,0),10)</f>
        <v>0</v>
      </c>
      <c r="Q52" s="382">
        <f>MROUND(VLOOKUP($C$45:$C$52,INITIAL_READIND,6,0),10)</f>
        <v>0</v>
      </c>
      <c r="R52" s="383">
        <f>VLOOKUP($C$45:$C$52,INITIAL_READIND,15,0)</f>
        <v>0</v>
      </c>
      <c r="S52" s="384">
        <f>VLOOKUP($C$45:$C$52,INITIAL_READIND,15,0)</f>
        <v>0</v>
      </c>
      <c r="T52" s="390" t="str">
        <f>VLOOKUP(C52:C59,INITIAL_READIND,14,0)</f>
        <v/>
      </c>
      <c r="U52" s="59">
        <f t="shared" si="21"/>
        <v>0</v>
      </c>
      <c r="V52" s="55"/>
      <c r="W52" s="380" t="s">
        <v>253</v>
      </c>
      <c r="X52" s="391" t="str">
        <f>VLOOKUP($W$46:$W$54,NP_SYSTEM,2,0)</f>
        <v/>
      </c>
      <c r="Y52" s="392">
        <f t="shared" si="29"/>
        <v>0</v>
      </c>
      <c r="Z52" s="392">
        <f t="shared" si="30"/>
        <v>0</v>
      </c>
      <c r="AA52" s="392">
        <f t="shared" si="31"/>
        <v>0</v>
      </c>
      <c r="AB52" s="392">
        <f t="shared" si="32"/>
        <v>0</v>
      </c>
      <c r="AC52" s="392">
        <f t="shared" si="33"/>
        <v>0</v>
      </c>
      <c r="AD52" s="374" t="str">
        <f t="shared" si="22"/>
        <v>0000</v>
      </c>
      <c r="AE52" s="54">
        <f t="shared" si="23"/>
        <v>0</v>
      </c>
      <c r="AF52" s="54">
        <f t="shared" si="24"/>
        <v>0</v>
      </c>
      <c r="AG52" s="54">
        <f t="shared" si="25"/>
        <v>0</v>
      </c>
      <c r="AH52" s="54">
        <f t="shared" si="26"/>
        <v>0</v>
      </c>
      <c r="AI52" s="388">
        <f t="shared" si="27"/>
        <v>0</v>
      </c>
      <c r="AJ52" s="54">
        <f>IF(AN52=0,0,SUM(AE45:AE52))</f>
        <v>0</v>
      </c>
      <c r="AK52" s="54">
        <f>IF(AN52=0,0,SUM(AF45:AF52))</f>
        <v>0</v>
      </c>
      <c r="AL52" s="54">
        <f>IF(AN52=0,0,SUM(AG45:AG52))</f>
        <v>0</v>
      </c>
      <c r="AM52" s="54">
        <f>IF(AN52=0,0,SUM(AH45:AH52))</f>
        <v>0</v>
      </c>
      <c r="AN52" s="389">
        <f t="shared" si="28"/>
        <v>0</v>
      </c>
      <c r="AO52" s="26">
        <f>SUM(AJ53:AM53)</f>
        <v>0</v>
      </c>
    </row>
    <row r="53" ht="15.75" customHeight="1">
      <c r="A53" s="199"/>
      <c r="B53" s="199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R53" s="26"/>
      <c r="S53" s="26"/>
      <c r="T53" s="26"/>
      <c r="U53" s="26"/>
      <c r="V53" s="26"/>
      <c r="W53" s="380" t="s">
        <v>227</v>
      </c>
      <c r="X53" s="391">
        <f>MROUND(VLOOKUP($W$46:$W$54,NP_SYSTEM,2,0),10)</f>
        <v>0</v>
      </c>
      <c r="Y53" s="394">
        <f>IF(AND(M52&gt;M51,M52&lt;&gt;0),M52-MAX($M$44:M52),0)</f>
        <v>0</v>
      </c>
      <c r="Z53" s="392">
        <f t="shared" si="30"/>
        <v>0</v>
      </c>
      <c r="AA53" s="392">
        <f t="shared" si="31"/>
        <v>0</v>
      </c>
      <c r="AB53" s="392">
        <f t="shared" si="32"/>
        <v>0</v>
      </c>
      <c r="AC53" s="392">
        <f t="shared" si="33"/>
        <v>0</v>
      </c>
      <c r="AD53" s="26"/>
      <c r="AE53" s="26">
        <f>MAX(AE45:AE52)</f>
        <v>0</v>
      </c>
      <c r="AF53" s="26">
        <f>SUM(AF45:AF52)</f>
        <v>0</v>
      </c>
      <c r="AG53" s="26">
        <f>MAX(AG45:AG52)</f>
        <v>0</v>
      </c>
      <c r="AH53" s="26">
        <f t="shared" ref="AH53:AI53" si="34">SUM(AH45:AH52)</f>
        <v>0</v>
      </c>
      <c r="AI53" s="388">
        <f t="shared" si="34"/>
        <v>0</v>
      </c>
      <c r="AJ53" s="26">
        <f t="shared" ref="AJ53:AM53" si="35">MAX(AJ45:AJ52)</f>
        <v>0</v>
      </c>
      <c r="AK53" s="26">
        <f t="shared" si="35"/>
        <v>0</v>
      </c>
      <c r="AL53" s="26">
        <f t="shared" si="35"/>
        <v>0</v>
      </c>
      <c r="AM53" s="26">
        <f t="shared" si="35"/>
        <v>0</v>
      </c>
      <c r="AN53" s="26"/>
      <c r="AO53" s="26"/>
    </row>
    <row r="54" ht="15.75" customHeight="1">
      <c r="A54" s="199"/>
      <c r="B54" s="199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R54" s="26"/>
      <c r="S54" s="26"/>
      <c r="T54" s="26"/>
      <c r="U54" s="26"/>
      <c r="V54" s="26"/>
      <c r="W54" s="393" t="s">
        <v>254</v>
      </c>
      <c r="X54" s="391">
        <f>MROUND(VLOOKUP($W$46:$W$54,NP_SYSTEM,2,0),10)</f>
        <v>0</v>
      </c>
      <c r="Y54" s="26"/>
      <c r="Z54" s="26"/>
      <c r="AA54" s="26"/>
      <c r="AB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</row>
    <row r="55" ht="15.75" customHeight="1">
      <c r="A55" s="199"/>
      <c r="B55" s="199"/>
      <c r="C55" s="26" t="s">
        <v>255</v>
      </c>
      <c r="D55" s="40">
        <v>0.9583333333333334</v>
      </c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</row>
    <row r="56" ht="15.75" customHeight="1">
      <c r="A56" s="199"/>
      <c r="B56" s="199"/>
      <c r="C56" s="54" t="s">
        <v>256</v>
      </c>
      <c r="D56" s="78">
        <v>0.9166666666666666</v>
      </c>
      <c r="E56" s="220">
        <v>0.0</v>
      </c>
      <c r="F56" s="395">
        <f t="shared" ref="F56:F63" si="36">SUM(D56,E56)</f>
        <v>0.9166666667</v>
      </c>
      <c r="G56" s="4"/>
      <c r="H56" s="141" t="str">
        <f>IF(AND(AA2="1st",AA3=I56),"TRUE","FALSE")</f>
        <v>FALSE</v>
      </c>
      <c r="I56" s="396">
        <f>EOMONTH(AA3,-1)+1</f>
        <v>46082</v>
      </c>
      <c r="J56" s="397">
        <f>DATE(YEAR(AA3),4,1)</f>
        <v>46113</v>
      </c>
      <c r="K56" s="398" t="str">
        <f>IF(timesheet!$C$50="E",M56,IF(timesheet!$C$50="H",S56,"Please Select Language"))</f>
        <v>ERROR!!!! DATA MATCH NHI HO RHA HAI…  "ROM CUMMULATIVE"  KE SATH  LINES (A,B,C,D) CUMMULATIVE " CHECK KAREN I</v>
      </c>
      <c r="L56" s="40"/>
      <c r="M56" s="54" t="s">
        <v>257</v>
      </c>
      <c r="N56" s="26"/>
      <c r="O56" s="26"/>
      <c r="P56" s="26"/>
      <c r="Q56" s="26"/>
      <c r="R56" s="26"/>
      <c r="S56" s="54" t="s">
        <v>258</v>
      </c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</row>
    <row r="57" ht="15.75" customHeight="1">
      <c r="A57" s="199"/>
      <c r="B57" s="199"/>
      <c r="C57" s="54" t="s">
        <v>259</v>
      </c>
      <c r="D57" s="78">
        <v>0.25</v>
      </c>
      <c r="E57" s="220"/>
      <c r="F57" s="395">
        <f t="shared" si="36"/>
        <v>0.25</v>
      </c>
      <c r="G57" s="4"/>
      <c r="H57" s="26" t="str">
        <f>IF(AND(AA2="1st",AA3=J56),"TRUE","FALSE")</f>
        <v>FALSE</v>
      </c>
      <c r="I57" s="399" t="s">
        <v>260</v>
      </c>
      <c r="J57" s="26"/>
      <c r="K57" s="398" t="str">
        <f>IF(timesheet!$C$50="E",M57,IF(timesheet!$C$50="H",S57,"Please Select Language"))</f>
        <v>ERROR!!!!  DATA MATCH NHI HO RHA HAI… " ROM CUMMULATIVE " KE SATH "COMMON LINES(C41, C43, CNP1, C78) CUMULATIVE" CHECK KAREN I</v>
      </c>
      <c r="L57" s="40"/>
      <c r="M57" s="54" t="s">
        <v>261</v>
      </c>
      <c r="N57" s="26"/>
      <c r="O57" s="26"/>
      <c r="P57" s="26"/>
      <c r="Q57" s="26"/>
      <c r="R57" s="26"/>
      <c r="S57" s="54" t="s">
        <v>262</v>
      </c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</row>
    <row r="58" ht="15.75" customHeight="1">
      <c r="A58" s="199"/>
      <c r="B58" s="199"/>
      <c r="C58" s="54" t="s">
        <v>263</v>
      </c>
      <c r="D58" s="78">
        <v>0.25</v>
      </c>
      <c r="E58" s="220"/>
      <c r="F58" s="395">
        <f t="shared" si="36"/>
        <v>0.25</v>
      </c>
      <c r="G58" s="4"/>
      <c r="H58" s="26" t="str">
        <f>IF(AND(AA2="1st",AA3= J58),"TRUE","FALSE")</f>
        <v>FALSE</v>
      </c>
      <c r="I58" s="54" t="s">
        <v>264</v>
      </c>
      <c r="J58" s="400">
        <f>TODAY()</f>
        <v>46109</v>
      </c>
      <c r="K58" s="398" t="str">
        <f>IF(timesheet!$C$50="E",M58,IF(timesheet!$C$50="H",S58,"Please Select Language"))</f>
        <v>ERROR!!!!  DATA MATCH NHI HO RHA HAI… " MOTHLY CLO CUMMULATIVE"  KE SATH "LINES(C43 CLO, C614 CLO) AUR NP9 CLO CUMULATIVE" CHECK KAREN I</v>
      </c>
      <c r="L58" s="40"/>
      <c r="M58" s="54" t="s">
        <v>265</v>
      </c>
      <c r="N58" s="26"/>
      <c r="O58" s="26"/>
      <c r="P58" s="26"/>
      <c r="Q58" s="26"/>
      <c r="R58" s="26"/>
      <c r="S58" s="54" t="s">
        <v>266</v>
      </c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</row>
    <row r="59" ht="15.75" customHeight="1">
      <c r="A59" s="199"/>
      <c r="B59" s="199"/>
      <c r="C59" s="54" t="s">
        <v>253</v>
      </c>
      <c r="D59" s="78">
        <v>0.25</v>
      </c>
      <c r="E59" s="220"/>
      <c r="F59" s="395">
        <f t="shared" si="36"/>
        <v>0.25</v>
      </c>
      <c r="G59" s="4"/>
      <c r="H59" s="26"/>
      <c r="I59" s="54" t="s">
        <v>267</v>
      </c>
      <c r="J59" s="26"/>
      <c r="K59" s="398" t="str">
        <f>IF(timesheet!$C$50="E",M59,IF(timesheet!$C$50="H",S59,"Please Select Language"))</f>
        <v>ERROR!!!!  DATA MATCH NHI HO RHA HAI… " MOTHLY FINE CUMMULATIVE"  KE SATH "LINES(C78 FINE, C618 FINE) AUR NP FINE CUMULATIVE" CHECK KAREN I</v>
      </c>
      <c r="L59" s="40"/>
      <c r="M59" s="54" t="s">
        <v>268</v>
      </c>
      <c r="N59" s="26"/>
      <c r="O59" s="26"/>
      <c r="P59" s="26"/>
      <c r="Q59" s="26"/>
      <c r="R59" s="26"/>
      <c r="S59" s="54" t="s">
        <v>269</v>
      </c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</row>
    <row r="60" ht="15.75" customHeight="1">
      <c r="A60" s="199"/>
      <c r="B60" s="199"/>
      <c r="C60" s="54" t="s">
        <v>256</v>
      </c>
      <c r="D60" s="78">
        <v>0.5833333333333334</v>
      </c>
      <c r="E60" s="220"/>
      <c r="F60" s="395">
        <f t="shared" si="36"/>
        <v>0.5833333333</v>
      </c>
      <c r="G60" s="4"/>
      <c r="H60" s="26"/>
      <c r="I60" s="26"/>
      <c r="J60" s="26"/>
      <c r="K60" s="398" t="str">
        <f>IF(timesheet!$C$50="E",M60,IF(timesheet!$C$50="H",S60,"Please Select Language"))</f>
        <v>ERROR!!!!  DATA MATCH NHI HO RHA HAI… " MOTHLY LUMP CUMMULATIVE"  KE SATH "LINES(C41 LUMP, C43 LUMP) AUR NP9 LUMP CUMULATIVE" CHECK KAREN I</v>
      </c>
      <c r="L60" s="40"/>
      <c r="M60" s="54" t="s">
        <v>270</v>
      </c>
      <c r="N60" s="26"/>
      <c r="O60" s="26"/>
      <c r="P60" s="26"/>
      <c r="Q60" s="26"/>
      <c r="R60" s="26"/>
      <c r="S60" s="54" t="s">
        <v>271</v>
      </c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</row>
    <row r="61" ht="15.75" customHeight="1">
      <c r="A61" s="199"/>
      <c r="B61" s="199"/>
      <c r="C61" s="54" t="s">
        <v>259</v>
      </c>
      <c r="D61" s="78">
        <v>0.5833333333333334</v>
      </c>
      <c r="E61" s="220"/>
      <c r="F61" s="395">
        <f t="shared" si="36"/>
        <v>0.5833333333</v>
      </c>
      <c r="G61" s="4"/>
      <c r="H61" s="401" t="str">
        <f>IF(AA2=0,"",CONCATENATE(TEXT(AA3,"dd-mmm-yy"),"_",AA2))</f>
        <v>28-Mar-26_3rd</v>
      </c>
      <c r="I61" s="52"/>
      <c r="J61" s="26"/>
      <c r="K61" s="398" t="str">
        <f>IF(timesheet!$C$50="E",M61,IF(timesheet!$C$50="H",S61,"Please Select Language"))</f>
        <v>ERROR!!!!  DATA MATCH NHI HO RHA H ..." NP2 CUMMULATIVE "KE SATH " NP9 CLO , NP9 LUMP &amp; NP FINE CUMMULATIVE " CHECK KAREN I</v>
      </c>
      <c r="L61" s="40"/>
      <c r="M61" s="54" t="s">
        <v>272</v>
      </c>
      <c r="N61" s="26"/>
      <c r="O61" s="26"/>
      <c r="P61" s="26"/>
      <c r="Q61" s="26"/>
      <c r="R61" s="26"/>
      <c r="S61" s="54" t="s">
        <v>273</v>
      </c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</row>
    <row r="62" ht="15.75" customHeight="1">
      <c r="A62" s="199"/>
      <c r="B62" s="199"/>
      <c r="C62" s="54" t="s">
        <v>263</v>
      </c>
      <c r="D62" s="78">
        <v>0.5833333333333334</v>
      </c>
      <c r="E62" s="220"/>
      <c r="F62" s="395">
        <f t="shared" si="36"/>
        <v>0.5833333333</v>
      </c>
      <c r="G62" s="4"/>
      <c r="H62" s="402" t="str">
        <f>IF(AA3=0,"",TEXT(AA3,"mmmm,yyyy"))</f>
        <v>March,2026</v>
      </c>
      <c r="I62" s="52"/>
      <c r="J62" s="26"/>
      <c r="K62" s="398" t="str">
        <f>IF(timesheet!$C$50="E",M62,IF(timesheet!$C$50="H",S62,"Please Select Language"))</f>
        <v>ERROR!!!! DATA MATCH NHI HO RHA HAI… "MONTHALY CLO CUMMULATIVE" KE SATH " D/L CLO  &amp;  S/L CLO  CUMMULATIVE " CHECK KAREN I </v>
      </c>
      <c r="L62" s="40"/>
      <c r="M62" s="54" t="s">
        <v>274</v>
      </c>
      <c r="N62" s="26"/>
      <c r="O62" s="26"/>
      <c r="P62" s="26"/>
      <c r="Q62" s="26"/>
      <c r="R62" s="26"/>
      <c r="S62" s="54" t="s">
        <v>275</v>
      </c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</row>
    <row r="63" ht="15.75" customHeight="1">
      <c r="A63" s="199"/>
      <c r="B63" s="199"/>
      <c r="C63" s="54" t="s">
        <v>253</v>
      </c>
      <c r="D63" s="78">
        <v>0.5833333333333334</v>
      </c>
      <c r="E63" s="220"/>
      <c r="F63" s="395">
        <f t="shared" si="36"/>
        <v>0.5833333333</v>
      </c>
      <c r="G63" s="4"/>
      <c r="H63" s="26"/>
      <c r="I63" s="26"/>
      <c r="J63" s="26"/>
      <c r="K63" s="398" t="str">
        <f>IF(timesheet!$C$50="E",M63,IF(timesheet!$C$50="H",S63,"Please Select Language"))</f>
        <v>ERROR!!!! DATA MATCH NHI HO RHA HAI… "MONTHALY LUMP CUMMULATIVE" KE SATH " D/L LUMP  &amp;  S/L LUMP  CUMMULATIVE " CHECK KAREN I </v>
      </c>
      <c r="L63" s="40"/>
      <c r="M63" s="54" t="s">
        <v>276</v>
      </c>
      <c r="N63" s="26"/>
      <c r="O63" s="26"/>
      <c r="P63" s="26"/>
      <c r="Q63" s="26"/>
      <c r="R63" s="26"/>
      <c r="S63" s="54" t="s">
        <v>277</v>
      </c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</row>
    <row r="64" ht="15.75" customHeight="1">
      <c r="A64" s="199"/>
      <c r="B64" s="199"/>
      <c r="C64" s="26"/>
      <c r="D64" s="26"/>
      <c r="E64" s="26"/>
      <c r="F64" s="26"/>
      <c r="G64" s="26"/>
      <c r="H64" s="26"/>
      <c r="I64" s="26"/>
      <c r="J64" s="26"/>
      <c r="K64" s="398" t="str">
        <f>IF(timesheet!$C$50="E",M64,IF(timesheet!$C$50="H",S64,"Please Select Language"))</f>
        <v>ERROR!!!! DATA MATCH NHI HO RHA HAI… "MONTHALY FINE CUMMULATIVE" KE SATH "  FOD,D/L FINES  &amp;  S/L FINES  CUMMULATIVE " CHECK KAREN I </v>
      </c>
      <c r="L64" s="26"/>
      <c r="M64" s="54" t="s">
        <v>278</v>
      </c>
      <c r="N64" s="26"/>
      <c r="O64" s="26"/>
      <c r="P64" s="26"/>
      <c r="Q64" s="26"/>
      <c r="R64" s="26"/>
      <c r="S64" s="54" t="s">
        <v>279</v>
      </c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</row>
    <row r="65" ht="15.75" customHeight="1">
      <c r="A65" s="199"/>
      <c r="B65" s="199"/>
      <c r="C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</row>
    <row r="66" ht="15.75" customHeight="1">
      <c r="A66" s="199"/>
      <c r="B66" s="199"/>
      <c r="C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</row>
    <row r="67" ht="15.75" customHeight="1">
      <c r="A67" s="199"/>
      <c r="B67" s="199"/>
      <c r="C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</row>
    <row r="68" ht="15.75" customHeight="1">
      <c r="A68" s="199"/>
      <c r="B68" s="199"/>
      <c r="C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</row>
    <row r="69" ht="15.75" customHeight="1">
      <c r="A69" s="199"/>
      <c r="B69" s="199"/>
      <c r="C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</row>
    <row r="70" ht="15.75" customHeight="1">
      <c r="A70" s="199"/>
      <c r="B70" s="199"/>
      <c r="C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</row>
    <row r="71" ht="15.75" customHeight="1">
      <c r="A71" s="199"/>
      <c r="B71" s="199"/>
      <c r="C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</row>
    <row r="72" ht="15.75" customHeight="1">
      <c r="A72" s="199"/>
      <c r="B72" s="199"/>
      <c r="C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</row>
    <row r="73" ht="15.75" customHeight="1">
      <c r="A73" s="199"/>
      <c r="B73" s="199"/>
      <c r="C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</row>
    <row r="74" ht="15.75" customHeight="1">
      <c r="A74" s="199"/>
      <c r="B74" s="199"/>
      <c r="C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</row>
    <row r="75" ht="15.75" customHeight="1">
      <c r="A75" s="199"/>
      <c r="B75" s="199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</row>
    <row r="76" ht="15.75" customHeight="1">
      <c r="A76" s="199"/>
      <c r="B76" s="199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</row>
    <row r="77" ht="15.75" customHeight="1">
      <c r="A77" s="199"/>
      <c r="B77" s="199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</row>
    <row r="78" ht="15.75" customHeight="1">
      <c r="A78" s="199"/>
      <c r="B78" s="199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</row>
    <row r="79" ht="15.75" customHeight="1">
      <c r="A79" s="199"/>
      <c r="B79" s="199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</row>
    <row r="80" ht="15.75" customHeight="1">
      <c r="A80" s="199"/>
      <c r="B80" s="199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</row>
    <row r="81" ht="15.75" customHeight="1">
      <c r="A81" s="199"/>
      <c r="B81" s="199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</row>
    <row r="82" ht="15.75" customHeight="1">
      <c r="A82" s="199"/>
      <c r="B82" s="199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</row>
    <row r="83" ht="15.75" customHeight="1">
      <c r="A83" s="199"/>
      <c r="B83" s="199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</row>
    <row r="84" ht="15.75" customHeight="1">
      <c r="A84" s="199"/>
      <c r="B84" s="199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</row>
    <row r="85" ht="15.75" customHeight="1">
      <c r="A85" s="199"/>
      <c r="B85" s="199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</row>
    <row r="86" ht="15.75" customHeight="1">
      <c r="A86" s="199"/>
      <c r="B86" s="199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</row>
    <row r="87" ht="15.75" customHeight="1">
      <c r="A87" s="199"/>
      <c r="B87" s="199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</row>
    <row r="88" ht="15.75" customHeight="1">
      <c r="A88" s="199"/>
      <c r="B88" s="199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</row>
    <row r="89" ht="15.75" customHeight="1">
      <c r="A89" s="199"/>
      <c r="B89" s="199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</row>
    <row r="90" ht="15.75" customHeight="1">
      <c r="A90" s="199"/>
      <c r="B90" s="199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</row>
    <row r="91" ht="15.75" customHeight="1">
      <c r="A91" s="199"/>
      <c r="B91" s="199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</row>
    <row r="92" ht="15.75" customHeight="1">
      <c r="A92" s="199"/>
      <c r="B92" s="199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</row>
    <row r="93" ht="15.75" customHeight="1">
      <c r="A93" s="199"/>
      <c r="B93" s="199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</row>
    <row r="94" ht="15.75" customHeight="1">
      <c r="A94" s="199"/>
      <c r="B94" s="199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</row>
    <row r="95" ht="15.75" customHeight="1">
      <c r="A95" s="199"/>
      <c r="B95" s="199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</row>
    <row r="96" ht="15.75" customHeight="1">
      <c r="A96" s="199"/>
      <c r="B96" s="199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</row>
    <row r="97" ht="15.75" customHeight="1">
      <c r="A97" s="199"/>
      <c r="B97" s="199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</row>
    <row r="98" ht="15.75" customHeight="1">
      <c r="A98" s="199"/>
      <c r="B98" s="199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</row>
    <row r="99" ht="15.75" customHeight="1">
      <c r="A99" s="199"/>
      <c r="B99" s="199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</row>
    <row r="100" ht="15.75" customHeight="1">
      <c r="A100" s="199"/>
      <c r="B100" s="199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</row>
    <row r="101" ht="15.75" customHeight="1">
      <c r="A101" s="199"/>
      <c r="B101" s="199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</row>
    <row r="102" ht="15.75" customHeight="1">
      <c r="A102" s="199"/>
      <c r="B102" s="199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</row>
    <row r="103" ht="15.75" customHeight="1">
      <c r="A103" s="199"/>
      <c r="B103" s="199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</row>
    <row r="104" ht="15.75" customHeight="1">
      <c r="A104" s="199"/>
      <c r="B104" s="199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</row>
    <row r="105" ht="15.75" customHeight="1">
      <c r="A105" s="199"/>
      <c r="B105" s="199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</row>
    <row r="106" ht="15.75" customHeight="1">
      <c r="A106" s="199"/>
      <c r="B106" s="199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</row>
    <row r="107" ht="15.75" customHeight="1">
      <c r="A107" s="199"/>
      <c r="B107" s="199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</row>
    <row r="108" ht="15.75" customHeight="1">
      <c r="A108" s="199"/>
      <c r="B108" s="199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</row>
    <row r="109" ht="15.75" customHeight="1">
      <c r="A109" s="199"/>
      <c r="B109" s="199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</row>
    <row r="110" ht="15.75" customHeight="1">
      <c r="A110" s="199"/>
      <c r="B110" s="199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</row>
    <row r="111" ht="15.75" customHeight="1">
      <c r="A111" s="199"/>
      <c r="B111" s="199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</row>
    <row r="112" ht="15.75" customHeight="1">
      <c r="A112" s="199"/>
      <c r="B112" s="199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ht="15.75" customHeight="1">
      <c r="A113" s="199"/>
      <c r="B113" s="199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</row>
    <row r="114" ht="15.75" customHeight="1">
      <c r="A114" s="199"/>
      <c r="B114" s="199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</row>
    <row r="115" ht="15.75" customHeight="1">
      <c r="A115" s="199"/>
      <c r="B115" s="199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</row>
    <row r="116" ht="15.75" customHeight="1">
      <c r="A116" s="199"/>
      <c r="B116" s="199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</row>
    <row r="117" ht="15.75" customHeight="1">
      <c r="A117" s="199"/>
      <c r="B117" s="199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</row>
    <row r="118" ht="15.75" customHeight="1">
      <c r="A118" s="199"/>
      <c r="B118" s="199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</row>
    <row r="119" ht="15.75" customHeight="1">
      <c r="A119" s="199"/>
      <c r="B119" s="199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</row>
    <row r="120" ht="15.75" customHeight="1">
      <c r="A120" s="199"/>
      <c r="B120" s="199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</row>
    <row r="121" ht="15.75" customHeight="1">
      <c r="A121" s="199"/>
      <c r="B121" s="199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</row>
    <row r="122" ht="15.75" customHeight="1">
      <c r="A122" s="199"/>
      <c r="B122" s="199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</row>
    <row r="123" ht="15.75" customHeight="1">
      <c r="A123" s="199"/>
      <c r="B123" s="199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</row>
    <row r="124" ht="15.75" customHeight="1">
      <c r="A124" s="199"/>
      <c r="B124" s="199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</row>
    <row r="125" ht="15.75" customHeight="1">
      <c r="A125" s="199"/>
      <c r="B125" s="199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</row>
    <row r="126" ht="15.75" customHeight="1">
      <c r="A126" s="199"/>
      <c r="B126" s="199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</row>
    <row r="127" ht="15.75" customHeight="1">
      <c r="A127" s="199"/>
      <c r="B127" s="199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</row>
    <row r="128" ht="15.75" customHeight="1">
      <c r="A128" s="199"/>
      <c r="B128" s="199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</row>
    <row r="129" ht="15.75" customHeight="1">
      <c r="A129" s="199"/>
      <c r="B129" s="199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</row>
    <row r="130" ht="15.75" customHeight="1">
      <c r="A130" s="199"/>
      <c r="B130" s="199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</row>
    <row r="131" ht="15.75" customHeight="1">
      <c r="A131" s="199"/>
      <c r="B131" s="199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</row>
    <row r="132" ht="15.75" customHeight="1">
      <c r="A132" s="199"/>
      <c r="B132" s="199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</row>
    <row r="133" ht="15.75" customHeight="1">
      <c r="A133" s="199"/>
      <c r="B133" s="199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</row>
    <row r="134" ht="15.75" customHeight="1">
      <c r="A134" s="199"/>
      <c r="B134" s="199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</row>
    <row r="135" ht="15.75" customHeight="1">
      <c r="A135" s="199"/>
      <c r="B135" s="199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</row>
    <row r="136" ht="15.75" customHeight="1">
      <c r="A136" s="199"/>
      <c r="B136" s="199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</row>
    <row r="137" ht="15.75" customHeight="1">
      <c r="A137" s="199"/>
      <c r="B137" s="199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</row>
    <row r="138" ht="15.75" customHeight="1">
      <c r="A138" s="199"/>
      <c r="B138" s="199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</row>
    <row r="139" ht="15.75" customHeight="1">
      <c r="A139" s="199"/>
      <c r="B139" s="199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</row>
    <row r="140" ht="15.75" customHeight="1">
      <c r="A140" s="199"/>
      <c r="B140" s="199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</row>
    <row r="141" ht="15.75" customHeight="1">
      <c r="A141" s="199"/>
      <c r="B141" s="199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</row>
    <row r="142" ht="15.75" customHeight="1">
      <c r="A142" s="199"/>
      <c r="B142" s="199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</row>
    <row r="143" ht="15.75" customHeight="1">
      <c r="A143" s="199"/>
      <c r="B143" s="199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</row>
    <row r="144" ht="15.75" customHeight="1">
      <c r="A144" s="199"/>
      <c r="B144" s="199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</row>
    <row r="145" ht="15.75" customHeight="1">
      <c r="A145" s="199"/>
      <c r="B145" s="199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</row>
    <row r="146" ht="15.75" customHeight="1">
      <c r="A146" s="199"/>
      <c r="B146" s="199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</row>
    <row r="147" ht="15.75" customHeight="1">
      <c r="A147" s="199"/>
      <c r="B147" s="199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</row>
    <row r="148" ht="15.75" customHeight="1">
      <c r="A148" s="199"/>
      <c r="B148" s="199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</row>
    <row r="149" ht="15.75" customHeight="1">
      <c r="A149" s="199"/>
      <c r="B149" s="199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</row>
    <row r="150" ht="15.75" customHeight="1">
      <c r="A150" s="199"/>
      <c r="B150" s="199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</row>
    <row r="151" ht="15.75" customHeight="1">
      <c r="A151" s="199"/>
      <c r="B151" s="199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</row>
    <row r="152" ht="15.75" customHeight="1">
      <c r="A152" s="199"/>
      <c r="B152" s="199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</row>
    <row r="153" ht="15.75" customHeight="1">
      <c r="A153" s="199"/>
      <c r="B153" s="199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</row>
    <row r="154" ht="15.75" customHeight="1">
      <c r="A154" s="199"/>
      <c r="B154" s="199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</row>
    <row r="155" ht="15.75" customHeight="1">
      <c r="A155" s="199"/>
      <c r="B155" s="199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</row>
    <row r="156" ht="15.75" customHeight="1">
      <c r="A156" s="199"/>
      <c r="B156" s="199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</row>
    <row r="157" ht="15.75" customHeight="1">
      <c r="A157" s="199"/>
      <c r="B157" s="199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</row>
    <row r="158" ht="15.75" customHeight="1">
      <c r="A158" s="199"/>
      <c r="B158" s="199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</row>
    <row r="159" ht="15.75" customHeight="1">
      <c r="A159" s="199"/>
      <c r="B159" s="199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</row>
    <row r="160" ht="15.75" customHeight="1">
      <c r="A160" s="199"/>
      <c r="B160" s="199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</row>
    <row r="161" ht="15.75" customHeight="1">
      <c r="A161" s="199"/>
      <c r="B161" s="199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</row>
    <row r="162" ht="15.75" customHeight="1">
      <c r="A162" s="199"/>
      <c r="B162" s="199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</row>
    <row r="163" ht="15.75" customHeight="1">
      <c r="A163" s="199"/>
      <c r="B163" s="199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</row>
    <row r="164" ht="15.75" customHeight="1">
      <c r="A164" s="199"/>
      <c r="B164" s="199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</row>
    <row r="165" ht="15.75" customHeight="1">
      <c r="A165" s="199"/>
      <c r="B165" s="199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</row>
    <row r="166" ht="15.75" customHeight="1">
      <c r="A166" s="199"/>
      <c r="B166" s="199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</row>
    <row r="167" ht="15.75" customHeight="1">
      <c r="A167" s="199"/>
      <c r="B167" s="199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</row>
    <row r="168" ht="15.75" customHeight="1">
      <c r="A168" s="199"/>
      <c r="B168" s="199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</row>
    <row r="169" ht="15.75" customHeight="1">
      <c r="A169" s="199"/>
      <c r="B169" s="199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</row>
    <row r="170" ht="15.75" customHeight="1">
      <c r="A170" s="199"/>
      <c r="B170" s="199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</row>
    <row r="171" ht="15.75" customHeight="1">
      <c r="A171" s="199"/>
      <c r="B171" s="199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</row>
    <row r="172" ht="15.75" customHeight="1">
      <c r="A172" s="199"/>
      <c r="B172" s="199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</row>
    <row r="173" ht="15.75" customHeight="1">
      <c r="A173" s="199"/>
      <c r="B173" s="199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</row>
    <row r="174" ht="15.75" customHeight="1">
      <c r="A174" s="199"/>
      <c r="B174" s="199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</row>
    <row r="175" ht="15.75" customHeight="1">
      <c r="A175" s="199"/>
      <c r="B175" s="199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</row>
    <row r="176" ht="15.75" customHeight="1">
      <c r="A176" s="199"/>
      <c r="B176" s="199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</row>
    <row r="177" ht="15.75" customHeight="1">
      <c r="A177" s="199"/>
      <c r="B177" s="199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</row>
    <row r="178" ht="15.75" customHeight="1">
      <c r="A178" s="199"/>
      <c r="B178" s="199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</row>
    <row r="179" ht="15.75" customHeight="1">
      <c r="A179" s="199"/>
      <c r="B179" s="199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</row>
    <row r="180" ht="15.75" customHeight="1">
      <c r="A180" s="199"/>
      <c r="B180" s="199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</row>
    <row r="181" ht="15.75" customHeight="1">
      <c r="A181" s="199"/>
      <c r="B181" s="199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</row>
    <row r="182" ht="15.75" customHeight="1">
      <c r="A182" s="199"/>
      <c r="B182" s="199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</row>
    <row r="183" ht="15.75" customHeight="1">
      <c r="A183" s="199"/>
      <c r="B183" s="199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</row>
    <row r="184" ht="15.75" customHeight="1">
      <c r="A184" s="199"/>
      <c r="B184" s="199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</row>
    <row r="185" ht="15.75" customHeight="1">
      <c r="A185" s="199"/>
      <c r="B185" s="199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</row>
    <row r="186" ht="15.75" customHeight="1">
      <c r="A186" s="199"/>
      <c r="B186" s="199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</row>
    <row r="187" ht="15.75" customHeight="1">
      <c r="A187" s="199"/>
      <c r="B187" s="199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</row>
    <row r="188" ht="15.75" customHeight="1">
      <c r="A188" s="199"/>
      <c r="B188" s="199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</row>
    <row r="189" ht="15.75" customHeight="1">
      <c r="A189" s="199"/>
      <c r="B189" s="199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</row>
    <row r="190" ht="15.75" customHeight="1">
      <c r="A190" s="199"/>
      <c r="B190" s="199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</row>
    <row r="191" ht="15.75" customHeight="1">
      <c r="A191" s="199"/>
      <c r="B191" s="199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</row>
    <row r="192" ht="15.75" customHeight="1">
      <c r="A192" s="199"/>
      <c r="B192" s="199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</row>
    <row r="193" ht="15.75" customHeight="1">
      <c r="A193" s="199"/>
      <c r="B193" s="199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</row>
    <row r="194" ht="15.75" customHeight="1">
      <c r="A194" s="199"/>
      <c r="B194" s="199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</row>
    <row r="195" ht="15.75" customHeight="1">
      <c r="A195" s="199"/>
      <c r="B195" s="199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</row>
    <row r="196" ht="15.75" customHeight="1">
      <c r="A196" s="199"/>
      <c r="B196" s="199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</row>
    <row r="197" ht="15.75" customHeight="1">
      <c r="A197" s="199"/>
      <c r="B197" s="199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</row>
    <row r="198" ht="15.75" customHeight="1">
      <c r="A198" s="199"/>
      <c r="B198" s="199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</row>
    <row r="199" ht="15.75" customHeight="1">
      <c r="A199" s="199"/>
      <c r="B199" s="199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</row>
    <row r="200" ht="15.75" customHeight="1">
      <c r="A200" s="199"/>
      <c r="B200" s="199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</row>
    <row r="201" ht="15.75" customHeight="1">
      <c r="A201" s="199"/>
      <c r="B201" s="199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</row>
    <row r="202" ht="15.75" customHeight="1">
      <c r="A202" s="199"/>
      <c r="B202" s="199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</row>
    <row r="203" ht="15.75" customHeight="1">
      <c r="A203" s="199"/>
      <c r="B203" s="199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</row>
    <row r="204" ht="15.75" customHeight="1">
      <c r="A204" s="199"/>
      <c r="B204" s="199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</row>
    <row r="205" ht="15.75" customHeight="1">
      <c r="A205" s="199"/>
      <c r="B205" s="199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</row>
    <row r="206" ht="15.75" customHeight="1">
      <c r="A206" s="199"/>
      <c r="B206" s="199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</row>
    <row r="207" ht="15.75" customHeight="1">
      <c r="A207" s="199"/>
      <c r="B207" s="199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</row>
    <row r="208" ht="15.75" customHeight="1">
      <c r="A208" s="199"/>
      <c r="B208" s="199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</row>
    <row r="209" ht="15.75" customHeight="1">
      <c r="A209" s="199"/>
      <c r="B209" s="199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</row>
    <row r="210" ht="15.75" customHeight="1">
      <c r="A210" s="199"/>
      <c r="B210" s="199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</row>
    <row r="211" ht="15.75" customHeight="1">
      <c r="A211" s="199"/>
      <c r="B211" s="199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</row>
    <row r="212" ht="15.75" customHeight="1">
      <c r="A212" s="199"/>
      <c r="B212" s="199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</row>
    <row r="213" ht="15.75" customHeight="1">
      <c r="A213" s="199"/>
      <c r="B213" s="199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</row>
    <row r="214" ht="15.75" customHeight="1">
      <c r="A214" s="199"/>
      <c r="B214" s="199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</row>
    <row r="215" ht="15.75" customHeight="1">
      <c r="A215" s="199"/>
      <c r="B215" s="199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</row>
    <row r="216" ht="15.75" customHeight="1">
      <c r="A216" s="199"/>
      <c r="B216" s="199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</row>
    <row r="217" ht="15.75" customHeight="1">
      <c r="A217" s="199"/>
      <c r="B217" s="199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</row>
    <row r="218" ht="15.75" customHeight="1">
      <c r="A218" s="199"/>
      <c r="B218" s="199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</row>
    <row r="219" ht="15.75" customHeight="1">
      <c r="A219" s="199"/>
      <c r="B219" s="199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</row>
    <row r="220" ht="15.75" customHeight="1">
      <c r="A220" s="199"/>
      <c r="B220" s="199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</row>
    <row r="221" ht="15.75" customHeight="1">
      <c r="A221" s="199"/>
      <c r="B221" s="199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</row>
    <row r="222" ht="15.75" customHeight="1">
      <c r="A222" s="199"/>
      <c r="B222" s="199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</row>
    <row r="223" ht="15.75" customHeight="1">
      <c r="A223" s="199"/>
      <c r="B223" s="199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</row>
    <row r="224" ht="15.75" customHeight="1">
      <c r="A224" s="199"/>
      <c r="B224" s="199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</row>
    <row r="225" ht="15.75" customHeight="1">
      <c r="A225" s="199"/>
      <c r="B225" s="199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</row>
    <row r="226" ht="15.75" customHeight="1">
      <c r="A226" s="199"/>
      <c r="B226" s="199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</row>
    <row r="227" ht="15.75" customHeight="1">
      <c r="A227" s="199"/>
      <c r="B227" s="199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</row>
    <row r="228" ht="15.75" customHeight="1">
      <c r="A228" s="199"/>
      <c r="B228" s="199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</row>
    <row r="229" ht="15.75" customHeight="1">
      <c r="A229" s="199"/>
      <c r="B229" s="199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</row>
    <row r="230" ht="15.75" customHeight="1">
      <c r="A230" s="199"/>
      <c r="B230" s="199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</row>
    <row r="231" ht="15.75" customHeight="1">
      <c r="A231" s="199"/>
      <c r="B231" s="199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</row>
    <row r="232" ht="15.75" customHeight="1">
      <c r="A232" s="199"/>
      <c r="B232" s="199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</row>
    <row r="233" ht="15.75" customHeight="1">
      <c r="A233" s="199"/>
      <c r="B233" s="199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</row>
    <row r="234" ht="15.75" customHeight="1">
      <c r="A234" s="199"/>
      <c r="B234" s="199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</row>
    <row r="235" ht="15.75" customHeight="1">
      <c r="A235" s="199"/>
      <c r="B235" s="199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</row>
    <row r="236" ht="15.75" customHeight="1">
      <c r="A236" s="199"/>
      <c r="B236" s="199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</row>
    <row r="237" ht="15.75" customHeight="1">
      <c r="A237" s="199"/>
      <c r="B237" s="199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</row>
    <row r="238" ht="15.75" customHeight="1">
      <c r="A238" s="199"/>
      <c r="B238" s="199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</row>
    <row r="239" ht="15.75" customHeight="1">
      <c r="A239" s="199"/>
      <c r="B239" s="199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</row>
    <row r="240" ht="15.75" customHeight="1">
      <c r="A240" s="199"/>
      <c r="B240" s="199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</row>
    <row r="241" ht="15.75" customHeight="1">
      <c r="A241" s="199"/>
      <c r="B241" s="199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</row>
    <row r="242" ht="15.75" customHeight="1">
      <c r="A242" s="199"/>
      <c r="B242" s="199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</row>
    <row r="243" ht="15.75" customHeight="1">
      <c r="A243" s="199"/>
      <c r="B243" s="199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</row>
    <row r="244" ht="15.75" customHeight="1">
      <c r="A244" s="199"/>
      <c r="B244" s="199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</row>
    <row r="245" ht="15.75" customHeight="1">
      <c r="A245" s="199"/>
      <c r="B245" s="199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</row>
    <row r="246" ht="15.75" customHeight="1">
      <c r="A246" s="199"/>
      <c r="B246" s="199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</row>
    <row r="247" ht="15.75" customHeight="1">
      <c r="A247" s="199"/>
      <c r="B247" s="199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</row>
    <row r="248" ht="15.75" customHeight="1">
      <c r="A248" s="199"/>
      <c r="B248" s="199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</row>
    <row r="249" ht="15.75" customHeight="1">
      <c r="A249" s="199"/>
      <c r="B249" s="199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</row>
    <row r="250" ht="15.75" customHeight="1">
      <c r="A250" s="199"/>
      <c r="B250" s="199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</row>
    <row r="251" ht="15.75" customHeight="1">
      <c r="A251" s="199"/>
      <c r="B251" s="199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</row>
    <row r="252" ht="15.75" customHeight="1">
      <c r="A252" s="199"/>
      <c r="B252" s="199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</row>
    <row r="253" ht="15.75" customHeight="1">
      <c r="A253" s="199"/>
      <c r="B253" s="199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</row>
    <row r="254" ht="15.75" customHeight="1">
      <c r="A254" s="199"/>
      <c r="B254" s="199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</row>
    <row r="255" ht="15.75" customHeight="1">
      <c r="A255" s="199"/>
      <c r="B255" s="199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</row>
    <row r="256" ht="15.75" customHeight="1">
      <c r="A256" s="199"/>
      <c r="B256" s="199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</row>
    <row r="257" ht="15.75" customHeight="1">
      <c r="A257" s="199"/>
      <c r="B257" s="199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</row>
    <row r="258" ht="15.75" customHeight="1">
      <c r="A258" s="199"/>
      <c r="B258" s="199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</row>
    <row r="259" ht="15.75" customHeight="1">
      <c r="A259" s="199"/>
      <c r="B259" s="199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</row>
    <row r="260" ht="15.75" customHeight="1">
      <c r="A260" s="199"/>
      <c r="B260" s="199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</row>
    <row r="261" ht="15.75" customHeight="1">
      <c r="A261" s="199"/>
      <c r="B261" s="199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</row>
    <row r="262" ht="15.75" customHeight="1">
      <c r="A262" s="199"/>
      <c r="B262" s="199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</row>
    <row r="263" ht="15.75" customHeight="1">
      <c r="A263" s="199"/>
      <c r="B263" s="199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</row>
    <row r="264" ht="15.75" customHeight="1">
      <c r="A264" s="199"/>
      <c r="B264" s="199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</row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6">
    <mergeCell ref="V20:W20"/>
    <mergeCell ref="X20:Y20"/>
    <mergeCell ref="O19:P19"/>
    <mergeCell ref="Q19:R19"/>
    <mergeCell ref="V19:W19"/>
    <mergeCell ref="X19:Y19"/>
    <mergeCell ref="AA19:AB19"/>
    <mergeCell ref="Q20:R20"/>
    <mergeCell ref="AA20:AB20"/>
    <mergeCell ref="T19:U19"/>
    <mergeCell ref="T20:U20"/>
    <mergeCell ref="T21:U21"/>
    <mergeCell ref="V21:W21"/>
    <mergeCell ref="X21:Y21"/>
    <mergeCell ref="AA21:AB21"/>
    <mergeCell ref="O20:P20"/>
    <mergeCell ref="O21:P21"/>
    <mergeCell ref="Q21:R21"/>
    <mergeCell ref="O22:P22"/>
    <mergeCell ref="Q22:R22"/>
    <mergeCell ref="T22:U22"/>
    <mergeCell ref="V22:W22"/>
    <mergeCell ref="T2:U2"/>
    <mergeCell ref="V2:W2"/>
    <mergeCell ref="X2:Y2"/>
    <mergeCell ref="AA2:AB2"/>
    <mergeCell ref="O3:P3"/>
    <mergeCell ref="Q3:R3"/>
    <mergeCell ref="T3:U3"/>
    <mergeCell ref="V3:W3"/>
    <mergeCell ref="X3:Y3"/>
    <mergeCell ref="AA3:AB3"/>
    <mergeCell ref="C2:C4"/>
    <mergeCell ref="D2:E3"/>
    <mergeCell ref="F2:J3"/>
    <mergeCell ref="K2:L2"/>
    <mergeCell ref="M2:N2"/>
    <mergeCell ref="O2:P2"/>
    <mergeCell ref="Q2:R2"/>
    <mergeCell ref="D4:AB4"/>
    <mergeCell ref="S5:T5"/>
    <mergeCell ref="U5:V5"/>
    <mergeCell ref="W5:X5"/>
    <mergeCell ref="Y5:Z5"/>
    <mergeCell ref="AA5:AB5"/>
    <mergeCell ref="K3:L3"/>
    <mergeCell ref="M3:N3"/>
    <mergeCell ref="I5:J5"/>
    <mergeCell ref="K5:L5"/>
    <mergeCell ref="M5:N5"/>
    <mergeCell ref="O5:P5"/>
    <mergeCell ref="Q5:R5"/>
    <mergeCell ref="X22:Y22"/>
    <mergeCell ref="AA22:AB22"/>
    <mergeCell ref="T23:U23"/>
    <mergeCell ref="T24:U24"/>
    <mergeCell ref="O27:P27"/>
    <mergeCell ref="O28:P28"/>
    <mergeCell ref="Q28:R28"/>
    <mergeCell ref="O29:P29"/>
    <mergeCell ref="Q29:R29"/>
    <mergeCell ref="O30:P30"/>
    <mergeCell ref="Q30:R30"/>
    <mergeCell ref="O31:P31"/>
    <mergeCell ref="Q31:R31"/>
    <mergeCell ref="O32:P32"/>
    <mergeCell ref="Q32:R32"/>
    <mergeCell ref="F40:G40"/>
    <mergeCell ref="H40:I40"/>
    <mergeCell ref="J40:K40"/>
    <mergeCell ref="F59:G59"/>
    <mergeCell ref="F60:G60"/>
    <mergeCell ref="F61:G61"/>
    <mergeCell ref="F62:G62"/>
    <mergeCell ref="F63:G63"/>
    <mergeCell ref="D40:E40"/>
    <mergeCell ref="D43:E43"/>
    <mergeCell ref="F43:G43"/>
    <mergeCell ref="H43:I43"/>
    <mergeCell ref="F56:G56"/>
    <mergeCell ref="F57:G57"/>
    <mergeCell ref="F58:G58"/>
    <mergeCell ref="V24:W24"/>
    <mergeCell ref="X24:Y24"/>
    <mergeCell ref="O23:P23"/>
    <mergeCell ref="Q23:R23"/>
    <mergeCell ref="V23:W23"/>
    <mergeCell ref="X23:Y23"/>
    <mergeCell ref="AA23:AB23"/>
    <mergeCell ref="Q24:R24"/>
    <mergeCell ref="AA24:AB24"/>
    <mergeCell ref="O24:P24"/>
    <mergeCell ref="O25:P25"/>
    <mergeCell ref="Q25:R25"/>
    <mergeCell ref="T25:U25"/>
    <mergeCell ref="V25:W25"/>
    <mergeCell ref="X25:Y25"/>
    <mergeCell ref="AA25:AB25"/>
    <mergeCell ref="T26:U26"/>
    <mergeCell ref="T27:U27"/>
    <mergeCell ref="T28:U28"/>
    <mergeCell ref="T29:U29"/>
    <mergeCell ref="T30:U30"/>
    <mergeCell ref="T31:U31"/>
    <mergeCell ref="T32:U32"/>
    <mergeCell ref="O26:P26"/>
    <mergeCell ref="Q26:R26"/>
    <mergeCell ref="V26:W26"/>
    <mergeCell ref="X26:Y26"/>
    <mergeCell ref="AA26:AB26"/>
    <mergeCell ref="Q27:R27"/>
    <mergeCell ref="AA27:AB27"/>
    <mergeCell ref="V29:W29"/>
    <mergeCell ref="V30:W30"/>
    <mergeCell ref="X30:Y30"/>
    <mergeCell ref="AA30:AB30"/>
    <mergeCell ref="V31:AB31"/>
    <mergeCell ref="V32:AB32"/>
    <mergeCell ref="O33:U33"/>
    <mergeCell ref="V27:W27"/>
    <mergeCell ref="X27:Y27"/>
    <mergeCell ref="V28:W28"/>
    <mergeCell ref="X28:Y28"/>
    <mergeCell ref="AA28:AB28"/>
    <mergeCell ref="X29:Y29"/>
    <mergeCell ref="AA29:AB29"/>
  </mergeCells>
  <conditionalFormatting sqref="D16:AB16">
    <cfRule type="cellIs" dxfId="7" priority="1" operator="greaterThan">
      <formula>0</formula>
    </cfRule>
  </conditionalFormatting>
  <conditionalFormatting sqref="D16:AB16">
    <cfRule type="containsBlanks" dxfId="5" priority="2">
      <formula>LEN(TRIM(D16))=0</formula>
    </cfRule>
  </conditionalFormatting>
  <conditionalFormatting sqref="D16:AB16">
    <cfRule type="notContainsBlanks" dxfId="8" priority="3">
      <formula>LEN(TRIM(D16))&gt;0</formula>
    </cfRule>
  </conditionalFormatting>
  <conditionalFormatting sqref="D17:AB17">
    <cfRule type="containsBlanks" dxfId="9" priority="4">
      <formula>LEN(TRIM(D17))=0</formula>
    </cfRule>
  </conditionalFormatting>
  <conditionalFormatting sqref="D17:AB17">
    <cfRule type="notContainsBlanks" dxfId="9" priority="5">
      <formula>LEN(TRIM(D17))&gt;0</formula>
    </cfRule>
  </conditionalFormatting>
  <conditionalFormatting sqref="D20:N29">
    <cfRule type="notContainsBlanks" dxfId="10" priority="6">
      <formula>LEN(TRIM(D20))&gt;0</formula>
    </cfRule>
  </conditionalFormatting>
  <conditionalFormatting sqref="D30:N30">
    <cfRule type="colorScale" priority="7">
      <colorScale>
        <cfvo type="min"/>
        <cfvo type="max"/>
        <color rgb="FFFFFFCC"/>
        <color rgb="FFC2D69B"/>
      </colorScale>
    </cfRule>
  </conditionalFormatting>
  <conditionalFormatting sqref="C7:C14">
    <cfRule type="cellIs" dxfId="11" priority="8" operator="greaterThan">
      <formula>0</formula>
    </cfRule>
  </conditionalFormatting>
  <conditionalFormatting sqref="C17:AB17">
    <cfRule type="cellIs" dxfId="12" priority="9" operator="greaterThan">
      <formula>0</formula>
    </cfRule>
  </conditionalFormatting>
  <conditionalFormatting sqref="D7:AB14">
    <cfRule type="colorScale" priority="10">
      <colorScale>
        <cfvo type="min"/>
        <cfvo type="max"/>
        <color theme="0"/>
        <color rgb="FFFFEAA7"/>
      </colorScale>
    </cfRule>
  </conditionalFormatting>
  <conditionalFormatting sqref="D7:AB14">
    <cfRule type="notContainsBlanks" dxfId="8" priority="11">
      <formula>LEN(TRIM(D7))&gt;0</formula>
    </cfRule>
  </conditionalFormatting>
  <conditionalFormatting sqref="D31:N31">
    <cfRule type="colorScale" priority="12">
      <colorScale>
        <cfvo type="min"/>
        <cfvo type="max"/>
        <color rgb="FFFFFFCC"/>
        <color rgb="FFC2D69B"/>
      </colorScale>
    </cfRule>
  </conditionalFormatting>
  <conditionalFormatting sqref="C15 AB15">
    <cfRule type="notContainsBlanks" dxfId="13" priority="13">
      <formula>LEN(TRIM(C15))&gt;0</formula>
    </cfRule>
  </conditionalFormatting>
  <conditionalFormatting sqref="AB15">
    <cfRule type="cellIs" dxfId="9" priority="14" operator="equal">
      <formula>0</formula>
    </cfRule>
  </conditionalFormatting>
  <conditionalFormatting sqref="Q22">
    <cfRule type="expression" dxfId="14" priority="15">
      <formula>SUM($AA$25:$AB$26)&lt;&gt;$T$22</formula>
    </cfRule>
  </conditionalFormatting>
  <conditionalFormatting sqref="Q23">
    <cfRule type="expression" dxfId="15" priority="16">
      <formula>SUM($AA$27:$AB$28)&lt;&gt;$T$23</formula>
    </cfRule>
  </conditionalFormatting>
  <conditionalFormatting sqref="Q24">
    <cfRule type="expression" dxfId="15" priority="17">
      <formula>SUM($AA$29,$AA$30,$AA$24)&lt;&gt;$T$24</formula>
    </cfRule>
  </conditionalFormatting>
  <conditionalFormatting sqref="X21:Y21 X23:Y23">
    <cfRule type="expression" dxfId="16" priority="18">
      <formula>SUM($AA$21:$AB$23)&lt;&gt;$AA$20</formula>
    </cfRule>
  </conditionalFormatting>
  <conditionalFormatting sqref="X22">
    <cfRule type="expression" dxfId="17" priority="19">
      <formula>SUM($AA$21:$AB$23)&lt;&gt;$AA$20</formula>
    </cfRule>
  </conditionalFormatting>
  <conditionalFormatting sqref="X25:Y26">
    <cfRule type="expression" dxfId="16" priority="20">
      <formula>SUM($AA$25:$AB$26)&lt;&gt;$T$22</formula>
    </cfRule>
  </conditionalFormatting>
  <conditionalFormatting sqref="X27:Y28">
    <cfRule type="expression" dxfId="16" priority="21">
      <formula>SUM($AA$27:$AB$28)&lt;&gt;$T$23</formula>
    </cfRule>
  </conditionalFormatting>
  <conditionalFormatting sqref="X24:Y24 X29:Y30">
    <cfRule type="expression" dxfId="16" priority="22">
      <formula>SUM($AA$29,$AA$30,$AA$24)&lt;&gt;$T$24</formula>
    </cfRule>
  </conditionalFormatting>
  <conditionalFormatting sqref="X25:Y25">
    <cfRule type="expression" dxfId="16" priority="23">
      <formula>SUM($AA$27:$AB$28)&lt;&gt;$T$23</formula>
    </cfRule>
  </conditionalFormatting>
  <conditionalFormatting sqref="D15:AA15">
    <cfRule type="notContainsBlanks" dxfId="18" priority="24">
      <formula>LEN(TRIM(D15))&gt;0</formula>
    </cfRule>
  </conditionalFormatting>
  <conditionalFormatting sqref="D15:AA15">
    <cfRule type="cellIs" dxfId="9" priority="25" operator="equal">
      <formula>0</formula>
    </cfRule>
  </conditionalFormatting>
  <conditionalFormatting sqref="D15:H15">
    <cfRule type="expression" dxfId="16" priority="26">
      <formula>SUM($D$17:$H$17)&lt;&gt;$I$17</formula>
    </cfRule>
  </conditionalFormatting>
  <conditionalFormatting sqref="I15">
    <cfRule type="expression" dxfId="19" priority="27">
      <formula>SUM($D$17:$H$17)&lt;&gt;$I$17</formula>
    </cfRule>
  </conditionalFormatting>
  <conditionalFormatting sqref="I15">
    <cfRule type="expression" dxfId="20" priority="28">
      <formula>SUM($K$17:$U$17,$T$21)&lt;&gt;$I$17</formula>
    </cfRule>
  </conditionalFormatting>
  <conditionalFormatting sqref="K15 M15 O15 Q15 S15 U15">
    <cfRule type="expression" dxfId="16" priority="29">
      <formula>SUM($K$17:$U$17,$T$21)&lt;&gt;$I$17</formula>
    </cfRule>
  </conditionalFormatting>
  <dataValidations>
    <dataValidation type="list" allowBlank="1" showErrorMessage="1" sqref="M2:M3 Q2:Q3 T2:T3 X2:X3">
      <formula1>hourmin</formula1>
    </dataValidation>
  </dataValidations>
  <printOptions/>
  <pageMargins bottom="0.75" footer="0.0" header="0.0" left="0.25" right="0.25" top="0.75"/>
  <pageSetup fitToHeight="0" paperSize="1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00B0F0"/>
    <pageSetUpPr/>
  </sheetPr>
  <sheetViews>
    <sheetView showGridLines="0" workbookViewId="0"/>
  </sheetViews>
  <sheetFormatPr customHeight="1" defaultColWidth="12.63" defaultRowHeight="15.0"/>
  <cols>
    <col customWidth="1" hidden="1" min="1" max="1" width="2.25"/>
    <col customWidth="1" min="2" max="2" width="8.38"/>
    <col customWidth="1" hidden="1" min="3" max="3" width="6.38"/>
    <col customWidth="1" min="4" max="9" width="7.63"/>
    <col customWidth="1" min="10" max="10" width="7.88"/>
    <col customWidth="1" min="11" max="14" width="7.63"/>
    <col customWidth="1" min="15" max="15" width="6.25"/>
    <col customWidth="1" min="16" max="16" width="7.63"/>
    <col customWidth="1" min="17" max="17" width="7.13"/>
    <col customWidth="1" min="18" max="18" width="8.38"/>
    <col customWidth="1" min="19" max="19" width="5.25"/>
    <col customWidth="1" min="20" max="20" width="8.5"/>
    <col customWidth="1" min="21" max="21" width="7.5"/>
    <col customWidth="1" min="22" max="22" width="3.0"/>
    <col customWidth="1" min="23" max="31" width="8.0"/>
  </cols>
  <sheetData>
    <row r="1" ht="4.5" customHeight="1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127">
        <v>46090.744722222225</v>
      </c>
      <c r="AA1" s="26"/>
      <c r="AB1" s="26"/>
      <c r="AC1" s="26"/>
      <c r="AD1" s="26"/>
      <c r="AE1" s="26"/>
    </row>
    <row r="2" ht="4.5" customHeight="1">
      <c r="A2" s="26"/>
      <c r="B2" s="403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5"/>
      <c r="V2" s="246"/>
      <c r="W2" s="26"/>
      <c r="X2" s="26"/>
      <c r="Y2" s="26"/>
      <c r="Z2" s="26"/>
      <c r="AA2" s="26"/>
      <c r="AB2" s="26"/>
      <c r="AC2" s="26"/>
      <c r="AD2" s="26"/>
      <c r="AE2" s="26"/>
    </row>
    <row r="3" ht="18.0" customHeight="1">
      <c r="A3" s="26"/>
      <c r="B3" s="406">
        <v>46109.25368055556</v>
      </c>
      <c r="C3" s="407"/>
      <c r="D3" s="26"/>
      <c r="E3" s="26"/>
      <c r="F3" s="26"/>
      <c r="G3" s="26"/>
      <c r="H3" s="26"/>
      <c r="I3" s="26"/>
      <c r="J3" s="26"/>
      <c r="K3" s="408">
        <v>0.9443402777777777</v>
      </c>
      <c r="L3" s="409"/>
      <c r="M3" s="410">
        <f>K3</f>
        <v>0.9443402778</v>
      </c>
      <c r="N3" s="34" t="str">
        <f>TEXT(K3," hh:mm")</f>
        <v> 22:39</v>
      </c>
      <c r="O3" s="33" t="str">
        <f>IF(AND(T3="3rd",K3&gt;TIME(6,10,0)),"t","f")</f>
        <v>t</v>
      </c>
      <c r="P3" s="26"/>
      <c r="Q3" s="26"/>
      <c r="R3" s="411" t="s">
        <v>12</v>
      </c>
      <c r="S3" s="412" t="s">
        <v>260</v>
      </c>
      <c r="T3" s="413" t="s">
        <v>267</v>
      </c>
      <c r="U3" s="414"/>
      <c r="V3" s="26"/>
      <c r="W3" s="26"/>
      <c r="X3" s="26"/>
      <c r="Y3" s="26"/>
      <c r="Z3" s="26"/>
      <c r="AA3" s="26"/>
      <c r="AB3" s="26"/>
      <c r="AC3" s="26"/>
      <c r="AD3" s="26"/>
      <c r="AE3" s="26"/>
    </row>
    <row r="4" ht="15.0" customHeight="1">
      <c r="A4" s="26"/>
      <c r="B4" s="415" t="s">
        <v>280</v>
      </c>
      <c r="C4" s="416"/>
      <c r="D4" s="417" t="s">
        <v>191</v>
      </c>
      <c r="E4" s="417" t="s">
        <v>192</v>
      </c>
      <c r="F4" s="417" t="s">
        <v>193</v>
      </c>
      <c r="G4" s="417" t="s">
        <v>194</v>
      </c>
      <c r="H4" s="417" t="s">
        <v>195</v>
      </c>
      <c r="I4" s="418" t="s">
        <v>281</v>
      </c>
      <c r="J4" s="25"/>
      <c r="K4" s="419" t="s">
        <v>282</v>
      </c>
      <c r="L4" s="420"/>
      <c r="M4" s="421" t="s">
        <v>283</v>
      </c>
      <c r="N4" s="421" t="s">
        <v>284</v>
      </c>
      <c r="O4" s="421" t="s">
        <v>285</v>
      </c>
      <c r="P4" s="422" t="s">
        <v>286</v>
      </c>
      <c r="Q4" s="26"/>
      <c r="R4" s="423" t="s">
        <v>15</v>
      </c>
      <c r="S4" s="424">
        <v>46109.0</v>
      </c>
      <c r="T4" s="425">
        <v>46109.0</v>
      </c>
      <c r="U4" s="414"/>
      <c r="V4" s="26"/>
      <c r="W4" s="26"/>
      <c r="X4" s="26"/>
      <c r="Y4" s="26"/>
      <c r="Z4" s="26"/>
      <c r="AA4" s="26"/>
      <c r="AB4" s="26"/>
      <c r="AC4" s="26"/>
      <c r="AD4" s="26"/>
      <c r="AE4" s="26"/>
    </row>
    <row r="5" ht="15.0" customHeight="1">
      <c r="A5" s="26"/>
      <c r="B5" s="426" t="s">
        <v>287</v>
      </c>
      <c r="C5" s="427">
        <v>0.25</v>
      </c>
      <c r="D5" s="428">
        <v>0.0</v>
      </c>
      <c r="E5" s="428">
        <v>0.0</v>
      </c>
      <c r="F5" s="428">
        <v>0.0</v>
      </c>
      <c r="G5" s="428">
        <v>0.0</v>
      </c>
      <c r="H5" s="429">
        <v>0.0</v>
      </c>
      <c r="I5" s="430">
        <v>0.0</v>
      </c>
      <c r="J5" s="25"/>
      <c r="K5" s="431">
        <v>0.0</v>
      </c>
      <c r="L5" s="25"/>
      <c r="M5" s="428">
        <v>0.0</v>
      </c>
      <c r="N5" s="428">
        <v>0.0</v>
      </c>
      <c r="O5" s="428">
        <v>0.0</v>
      </c>
      <c r="P5" s="432">
        <v>0.0</v>
      </c>
      <c r="Q5" s="433">
        <f>(NOW()-TIME(7,47,0))</f>
        <v>46109.50094</v>
      </c>
      <c r="R5" s="33">
        <f>(DAY(T4)-DAY(Q5))</f>
        <v>0</v>
      </c>
      <c r="S5" s="26"/>
      <c r="T5" s="26"/>
      <c r="U5" s="414"/>
      <c r="V5" s="26"/>
      <c r="W5" s="26"/>
      <c r="X5" s="26"/>
      <c r="Y5" s="26"/>
      <c r="Z5" s="26"/>
      <c r="AA5" s="26"/>
      <c r="AB5" s="26"/>
      <c r="AC5" s="26"/>
      <c r="AD5" s="26"/>
      <c r="AE5" s="26"/>
    </row>
    <row r="6" ht="15.0" customHeight="1">
      <c r="A6" s="26"/>
      <c r="B6" s="434" t="s">
        <v>190</v>
      </c>
      <c r="C6" s="435" t="s">
        <v>190</v>
      </c>
      <c r="D6" s="436" t="s">
        <v>191</v>
      </c>
      <c r="E6" s="436" t="s">
        <v>192</v>
      </c>
      <c r="F6" s="436" t="s">
        <v>193</v>
      </c>
      <c r="G6" s="437" t="s">
        <v>194</v>
      </c>
      <c r="H6" s="437" t="s">
        <v>195</v>
      </c>
      <c r="I6" s="438" t="s">
        <v>196</v>
      </c>
      <c r="J6" s="439" t="s">
        <v>288</v>
      </c>
      <c r="K6" s="440" t="s">
        <v>289</v>
      </c>
      <c r="L6" s="441" t="s">
        <v>199</v>
      </c>
      <c r="M6" s="442" t="s">
        <v>200</v>
      </c>
      <c r="N6" s="442" t="s">
        <v>290</v>
      </c>
      <c r="O6" s="443">
        <v>614.0</v>
      </c>
      <c r="P6" s="442">
        <v>618.0</v>
      </c>
      <c r="Q6" s="442" t="s">
        <v>291</v>
      </c>
      <c r="R6" s="444" t="s">
        <v>292</v>
      </c>
      <c r="S6" s="445" t="s">
        <v>293</v>
      </c>
      <c r="T6" s="446" t="s">
        <v>280</v>
      </c>
      <c r="U6" s="442" t="s">
        <v>250</v>
      </c>
      <c r="V6" s="26"/>
      <c r="W6" s="26"/>
      <c r="X6" s="26"/>
      <c r="Y6" s="26"/>
      <c r="Z6" s="26"/>
      <c r="AA6" s="26"/>
      <c r="AB6" s="26"/>
      <c r="AC6" s="26"/>
      <c r="AD6" s="26"/>
      <c r="AE6" s="26"/>
    </row>
    <row r="7">
      <c r="A7" s="26"/>
      <c r="B7" s="447">
        <f>IF(T3="1st",TIME(7,0,0),IF(T3="2nd",TIME(15,0,0),IF(T3="3rd",TIME(23,0,0),"")))</f>
        <v>0.9583333333</v>
      </c>
      <c r="C7" s="448">
        <v>0.2916666666666667</v>
      </c>
      <c r="D7" s="449"/>
      <c r="E7" s="449"/>
      <c r="F7" s="449"/>
      <c r="G7" s="449"/>
      <c r="H7" s="449"/>
      <c r="I7" s="449"/>
      <c r="J7" s="449"/>
      <c r="K7" s="450"/>
      <c r="L7" s="451"/>
      <c r="M7" s="450"/>
      <c r="N7" s="452"/>
      <c r="O7" s="453"/>
      <c r="P7" s="451"/>
      <c r="Q7" s="454">
        <v>0.0</v>
      </c>
      <c r="R7" s="455"/>
      <c r="S7" s="26" t="str">
        <f t="shared" ref="S7:S14" si="1">SUM(COUNTIF(#REF!,"50%"),COUNTIF(#REF!,"100%"),COUNTIF(#REF!,"75%"),COUNTIF(#REF!,"25%"),COUNTIF(#REF!,"33%"))</f>
        <v>#REF!</v>
      </c>
      <c r="T7" s="456" t="s">
        <v>233</v>
      </c>
      <c r="U7" s="457"/>
      <c r="V7" s="26"/>
      <c r="W7" s="26"/>
      <c r="X7" s="458"/>
      <c r="Y7" s="459"/>
      <c r="Z7" s="458"/>
      <c r="AA7" s="460"/>
      <c r="AB7" s="449">
        <v>39410.0</v>
      </c>
      <c r="AC7" s="461">
        <v>113900.0</v>
      </c>
      <c r="AD7" s="461">
        <v>50020.0</v>
      </c>
      <c r="AE7" s="461">
        <v>20810.0</v>
      </c>
    </row>
    <row r="8">
      <c r="A8" s="26"/>
      <c r="B8" s="462">
        <f t="shared" ref="B8:B14" si="2">IF(B7="","",SUM(B7,TIME(1,0,0)))</f>
        <v>1</v>
      </c>
      <c r="C8" s="463">
        <v>0.333333333333333</v>
      </c>
      <c r="D8" s="464"/>
      <c r="E8" s="464"/>
      <c r="F8" s="464"/>
      <c r="G8" s="464"/>
      <c r="H8" s="464"/>
      <c r="I8" s="464"/>
      <c r="J8" s="451"/>
      <c r="K8" s="450"/>
      <c r="L8" s="451"/>
      <c r="M8" s="450"/>
      <c r="N8" s="452"/>
      <c r="O8" s="453"/>
      <c r="P8" s="451"/>
      <c r="Q8" s="454">
        <v>0.0</v>
      </c>
      <c r="R8" s="465"/>
      <c r="S8" s="26" t="str">
        <f t="shared" si="1"/>
        <v>#REF!</v>
      </c>
      <c r="T8" s="466" t="s">
        <v>235</v>
      </c>
      <c r="U8" s="467"/>
      <c r="V8" s="26"/>
      <c r="W8" s="26"/>
      <c r="X8" s="468"/>
      <c r="Y8" s="469"/>
      <c r="Z8" s="468"/>
      <c r="AA8" s="470"/>
      <c r="AB8" s="471">
        <v>39750.0</v>
      </c>
      <c r="AC8" s="472">
        <v>114870.0</v>
      </c>
      <c r="AD8" s="472">
        <v>50270.0</v>
      </c>
      <c r="AE8" s="472">
        <v>20900.0</v>
      </c>
    </row>
    <row r="9">
      <c r="A9" s="26"/>
      <c r="B9" s="462">
        <f t="shared" si="2"/>
        <v>1.041666667</v>
      </c>
      <c r="C9" s="463">
        <v>0.375</v>
      </c>
      <c r="D9" s="464"/>
      <c r="E9" s="464"/>
      <c r="F9" s="464"/>
      <c r="G9" s="464"/>
      <c r="H9" s="464"/>
      <c r="I9" s="464"/>
      <c r="J9" s="451"/>
      <c r="K9" s="450"/>
      <c r="L9" s="451"/>
      <c r="M9" s="450"/>
      <c r="N9" s="452"/>
      <c r="O9" s="453"/>
      <c r="P9" s="451"/>
      <c r="Q9" s="454">
        <v>0.0</v>
      </c>
      <c r="R9" s="465"/>
      <c r="S9" s="26" t="str">
        <f t="shared" si="1"/>
        <v>#REF!</v>
      </c>
      <c r="T9" s="473" t="s">
        <v>229</v>
      </c>
      <c r="U9" s="474"/>
      <c r="V9" s="26"/>
      <c r="W9" s="26"/>
      <c r="X9" s="468"/>
      <c r="Y9" s="469"/>
      <c r="Z9" s="468"/>
      <c r="AA9" s="470"/>
      <c r="AB9" s="471"/>
      <c r="AC9" s="472"/>
      <c r="AD9" s="472"/>
      <c r="AE9" s="472"/>
    </row>
    <row r="10">
      <c r="A10" s="26"/>
      <c r="B10" s="462">
        <f t="shared" si="2"/>
        <v>1.083333333</v>
      </c>
      <c r="C10" s="463">
        <v>0.416666666666667</v>
      </c>
      <c r="D10" s="464"/>
      <c r="E10" s="464"/>
      <c r="F10" s="464"/>
      <c r="G10" s="464"/>
      <c r="H10" s="464"/>
      <c r="I10" s="464"/>
      <c r="J10" s="451"/>
      <c r="K10" s="450"/>
      <c r="L10" s="451"/>
      <c r="M10" s="450"/>
      <c r="N10" s="452"/>
      <c r="O10" s="453"/>
      <c r="P10" s="451"/>
      <c r="Q10" s="454">
        <v>0.0</v>
      </c>
      <c r="R10" s="465"/>
      <c r="S10" s="26" t="str">
        <f t="shared" si="1"/>
        <v>#REF!</v>
      </c>
      <c r="T10" s="466" t="s">
        <v>231</v>
      </c>
      <c r="U10" s="467"/>
      <c r="V10" s="26"/>
      <c r="W10" s="26"/>
      <c r="X10" s="468"/>
      <c r="Y10" s="469"/>
      <c r="Z10" s="468"/>
      <c r="AA10" s="470"/>
      <c r="AB10" s="471"/>
      <c r="AC10" s="472"/>
      <c r="AD10" s="472"/>
      <c r="AE10" s="472"/>
    </row>
    <row r="11">
      <c r="A11" s="26"/>
      <c r="B11" s="462">
        <f t="shared" si="2"/>
        <v>1.125</v>
      </c>
      <c r="C11" s="463">
        <v>0.458333333333333</v>
      </c>
      <c r="D11" s="464"/>
      <c r="E11" s="464"/>
      <c r="F11" s="464"/>
      <c r="G11" s="464"/>
      <c r="H11" s="464"/>
      <c r="I11" s="464"/>
      <c r="J11" s="451"/>
      <c r="K11" s="450"/>
      <c r="L11" s="451"/>
      <c r="M11" s="450"/>
      <c r="N11" s="452"/>
      <c r="O11" s="453"/>
      <c r="P11" s="451"/>
      <c r="Q11" s="454">
        <v>0.0</v>
      </c>
      <c r="R11" s="465"/>
      <c r="S11" s="26" t="str">
        <f t="shared" si="1"/>
        <v>#REF!</v>
      </c>
      <c r="T11" s="473" t="s">
        <v>251</v>
      </c>
      <c r="U11" s="474"/>
      <c r="V11" s="26"/>
      <c r="W11" s="26"/>
      <c r="X11" s="468"/>
      <c r="Y11" s="469"/>
      <c r="Z11" s="468"/>
      <c r="AA11" s="470"/>
      <c r="AB11" s="471"/>
      <c r="AC11" s="472"/>
      <c r="AD11" s="472"/>
      <c r="AE11" s="472"/>
    </row>
    <row r="12">
      <c r="A12" s="26"/>
      <c r="B12" s="462">
        <f t="shared" si="2"/>
        <v>1.166666667</v>
      </c>
      <c r="C12" s="463">
        <v>0.5</v>
      </c>
      <c r="D12" s="464"/>
      <c r="E12" s="464"/>
      <c r="F12" s="464"/>
      <c r="G12" s="464"/>
      <c r="H12" s="464"/>
      <c r="I12" s="464"/>
      <c r="J12" s="451"/>
      <c r="K12" s="450"/>
      <c r="L12" s="451"/>
      <c r="M12" s="450"/>
      <c r="N12" s="452"/>
      <c r="O12" s="453"/>
      <c r="P12" s="451"/>
      <c r="Q12" s="454">
        <v>0.0</v>
      </c>
      <c r="R12" s="465"/>
      <c r="S12" s="26" t="str">
        <f t="shared" si="1"/>
        <v>#REF!</v>
      </c>
      <c r="T12" s="466" t="s">
        <v>252</v>
      </c>
      <c r="U12" s="467"/>
      <c r="V12" s="26"/>
      <c r="W12" s="26"/>
      <c r="X12" s="468"/>
      <c r="Y12" s="469"/>
      <c r="Z12" s="468"/>
      <c r="AA12" s="470"/>
      <c r="AB12" s="471"/>
      <c r="AC12" s="472"/>
      <c r="AD12" s="472"/>
      <c r="AE12" s="472"/>
    </row>
    <row r="13">
      <c r="A13" s="26"/>
      <c r="B13" s="462">
        <f t="shared" si="2"/>
        <v>1.208333333</v>
      </c>
      <c r="C13" s="463">
        <v>0.541666666666667</v>
      </c>
      <c r="D13" s="464"/>
      <c r="E13" s="464"/>
      <c r="F13" s="464"/>
      <c r="G13" s="464"/>
      <c r="H13" s="464"/>
      <c r="I13" s="464"/>
      <c r="J13" s="451"/>
      <c r="K13" s="450"/>
      <c r="L13" s="451"/>
      <c r="M13" s="450"/>
      <c r="N13" s="452"/>
      <c r="O13" s="453"/>
      <c r="P13" s="451"/>
      <c r="Q13" s="454">
        <v>0.0</v>
      </c>
      <c r="R13" s="465"/>
      <c r="S13" s="26" t="str">
        <f t="shared" si="1"/>
        <v>#REF!</v>
      </c>
      <c r="T13" s="475" t="s">
        <v>253</v>
      </c>
      <c r="U13" s="476"/>
      <c r="V13" s="26"/>
      <c r="W13" s="26"/>
      <c r="X13" s="468"/>
      <c r="Y13" s="469"/>
      <c r="Z13" s="468"/>
      <c r="AA13" s="470"/>
      <c r="AB13" s="471"/>
      <c r="AC13" s="472"/>
      <c r="AD13" s="472"/>
      <c r="AE13" s="472"/>
    </row>
    <row r="14">
      <c r="A14" s="26"/>
      <c r="B14" s="477">
        <f t="shared" si="2"/>
        <v>1.25</v>
      </c>
      <c r="C14" s="478">
        <v>0.583333333333333</v>
      </c>
      <c r="D14" s="464"/>
      <c r="E14" s="464"/>
      <c r="F14" s="464"/>
      <c r="G14" s="464"/>
      <c r="H14" s="464"/>
      <c r="I14" s="464"/>
      <c r="J14" s="451"/>
      <c r="K14" s="479"/>
      <c r="L14" s="464"/>
      <c r="M14" s="479"/>
      <c r="N14" s="480"/>
      <c r="O14" s="481"/>
      <c r="P14" s="464"/>
      <c r="Q14" s="454">
        <v>0.0</v>
      </c>
      <c r="R14" s="482"/>
      <c r="S14" s="174" t="str">
        <f t="shared" si="1"/>
        <v>#REF!</v>
      </c>
      <c r="T14" s="483" t="s">
        <v>227</v>
      </c>
      <c r="U14" s="467"/>
      <c r="V14" s="26"/>
      <c r="W14" s="26"/>
      <c r="X14" s="468"/>
      <c r="Y14" s="484"/>
      <c r="Z14" s="468"/>
      <c r="AA14" s="485"/>
      <c r="AB14" s="471"/>
      <c r="AC14" s="472"/>
      <c r="AD14" s="472"/>
      <c r="AE14" s="472"/>
    </row>
    <row r="15" ht="14.25" customHeight="1">
      <c r="A15" s="26"/>
      <c r="B15" s="486">
        <f>IF(T3="1st",SUM(TIME(14,0,0),T4),IF(T3="2nd",SUM(TIME(22,0,0),T4),IF(T3="3rd",SUM(TIME(30,0,0),T4),"")))</f>
        <v>46109.25</v>
      </c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26"/>
      <c r="P15" s="26"/>
      <c r="Q15" s="488"/>
      <c r="R15" s="26"/>
      <c r="S15" s="26"/>
      <c r="T15" s="489" t="s">
        <v>254</v>
      </c>
      <c r="U15" s="490"/>
      <c r="V15" s="26"/>
      <c r="W15" s="26"/>
      <c r="X15" s="26"/>
      <c r="Y15" s="26"/>
      <c r="Z15" s="26"/>
      <c r="AA15" s="26"/>
      <c r="AB15" s="26"/>
      <c r="AC15" s="26"/>
      <c r="AD15" s="26"/>
      <c r="AE15" s="26"/>
    </row>
    <row r="16" ht="9.0" customHeight="1">
      <c r="A16" s="26"/>
      <c r="B16" s="491">
        <f>(IF(B15&lt;NOW(),B15+1,B15)-NOW())*24</f>
        <v>10.19415917</v>
      </c>
      <c r="C16" s="26"/>
      <c r="D16" s="26"/>
      <c r="E16" s="26"/>
      <c r="F16" s="26"/>
      <c r="G16" s="26"/>
      <c r="H16" s="26"/>
      <c r="I16" s="26"/>
      <c r="J16" s="26"/>
      <c r="K16" s="492"/>
      <c r="N16" s="26"/>
      <c r="O16" s="26"/>
      <c r="P16" s="26"/>
      <c r="Q16" s="26"/>
      <c r="R16" s="26"/>
      <c r="S16" s="26"/>
      <c r="T16" s="26"/>
      <c r="U16" s="414"/>
      <c r="V16" s="26"/>
      <c r="W16" s="26"/>
      <c r="X16" s="26"/>
      <c r="Y16" s="26"/>
      <c r="Z16" s="26"/>
      <c r="AA16" s="26"/>
      <c r="AB16" s="26"/>
      <c r="AC16" s="26"/>
      <c r="AD16" s="26"/>
      <c r="AE16" s="26"/>
    </row>
    <row r="17" ht="8.25" customHeight="1">
      <c r="A17" s="26"/>
      <c r="B17" s="493"/>
      <c r="C17" s="26"/>
      <c r="D17" s="26"/>
      <c r="E17" s="26"/>
      <c r="F17" s="26"/>
      <c r="G17" s="26"/>
      <c r="H17" s="26"/>
      <c r="I17" s="487"/>
      <c r="J17" s="487"/>
      <c r="K17" s="487"/>
      <c r="L17" s="487"/>
      <c r="M17" s="487"/>
      <c r="N17" s="487"/>
      <c r="O17" s="487"/>
      <c r="P17" s="487"/>
      <c r="Q17" s="365"/>
      <c r="R17" s="26"/>
      <c r="S17" s="494"/>
      <c r="T17" s="495"/>
      <c r="U17" s="496"/>
      <c r="V17" s="26"/>
      <c r="W17" s="26"/>
      <c r="X17" s="26"/>
      <c r="Y17" s="26"/>
      <c r="Z17" s="26"/>
      <c r="AA17" s="26"/>
      <c r="AB17" s="26"/>
      <c r="AC17" s="26"/>
      <c r="AD17" s="26"/>
      <c r="AE17" s="26"/>
    </row>
    <row r="18" ht="12.0" customHeight="1">
      <c r="A18" s="26"/>
      <c r="B18" s="407"/>
      <c r="C18" s="497"/>
      <c r="D18" s="26"/>
      <c r="E18" s="26"/>
      <c r="F18" s="498" t="s">
        <v>294</v>
      </c>
      <c r="G18" s="499" t="s">
        <v>213</v>
      </c>
      <c r="H18" s="500" t="s">
        <v>295</v>
      </c>
      <c r="I18" s="501" t="s">
        <v>2</v>
      </c>
      <c r="J18" s="501" t="s">
        <v>3</v>
      </c>
      <c r="K18" s="501" t="s">
        <v>4</v>
      </c>
      <c r="L18" s="502" t="s">
        <v>6</v>
      </c>
      <c r="M18" s="503" t="s">
        <v>296</v>
      </c>
      <c r="O18" s="504" t="s">
        <v>243</v>
      </c>
      <c r="P18" s="505" t="s">
        <v>244</v>
      </c>
      <c r="Q18" s="505" t="s">
        <v>245</v>
      </c>
      <c r="R18" s="506" t="s">
        <v>246</v>
      </c>
      <c r="S18" s="507"/>
      <c r="T18" s="508"/>
      <c r="U18" s="26"/>
      <c r="X18" s="26"/>
      <c r="AO18" s="26"/>
    </row>
    <row r="19" ht="12.0" customHeight="1">
      <c r="A19" s="26"/>
      <c r="B19" s="509"/>
      <c r="C19" s="26"/>
      <c r="D19" s="26"/>
      <c r="E19" s="26"/>
      <c r="F19" s="510" t="s">
        <v>297</v>
      </c>
      <c r="G19" s="232"/>
      <c r="H19" s="511">
        <f t="shared" ref="H19:H25" si="3">H28</f>
        <v>641840</v>
      </c>
      <c r="I19" s="512">
        <f t="shared" ref="I19:I25" si="4">IF($T$3="1st",I37,I28)</f>
        <v>15540</v>
      </c>
      <c r="J19" s="513">
        <f t="shared" ref="J19:J25" si="5">IF($T$3="2nd",J37,J28)</f>
        <v>16210</v>
      </c>
      <c r="K19" s="512">
        <f t="shared" ref="K19:K25" si="6">IF($T$3="3rd",K37,K28)</f>
        <v>0</v>
      </c>
      <c r="L19" s="512">
        <f t="shared" ref="L19:L25" si="7">SUM(I19:K19)</f>
        <v>31750</v>
      </c>
      <c r="M19" s="514">
        <f>LOGSHEET!T20</f>
        <v>673590</v>
      </c>
      <c r="O19" s="515" t="s">
        <v>184</v>
      </c>
      <c r="P19" s="516" t="s">
        <v>298</v>
      </c>
      <c r="Q19" s="517" t="s">
        <v>299</v>
      </c>
      <c r="R19" s="518" t="s">
        <v>300</v>
      </c>
      <c r="S19" s="507"/>
      <c r="T19" s="508"/>
      <c r="U19" s="26"/>
      <c r="X19" s="26"/>
      <c r="AO19" s="26"/>
    </row>
    <row r="20" ht="12.0" customHeight="1">
      <c r="A20" s="26"/>
      <c r="B20" s="33" t="str">
        <f>IF(T3="1st",#REF!-I19,IF(T3="2nd",#REF!-J19,IF(T3="3rd",#REF!-K19,"")))</f>
        <v>#REF!</v>
      </c>
      <c r="C20" s="26"/>
      <c r="D20" s="26"/>
      <c r="E20" s="26"/>
      <c r="F20" s="519" t="s">
        <v>301</v>
      </c>
      <c r="G20" s="12"/>
      <c r="H20" s="520">
        <f t="shared" si="3"/>
        <v>0</v>
      </c>
      <c r="I20" s="521">
        <f t="shared" si="4"/>
        <v>0</v>
      </c>
      <c r="J20" s="522">
        <f t="shared" si="5"/>
        <v>0</v>
      </c>
      <c r="K20" s="523">
        <f t="shared" si="6"/>
        <v>0</v>
      </c>
      <c r="L20" s="522">
        <f t="shared" si="7"/>
        <v>0</v>
      </c>
      <c r="M20" s="524">
        <f>LOGSHEET!T21</f>
        <v>0</v>
      </c>
      <c r="O20" s="525" t="s">
        <v>302</v>
      </c>
      <c r="P20" s="526"/>
      <c r="Q20" s="526"/>
      <c r="R20" s="527"/>
      <c r="S20" s="507"/>
      <c r="T20" s="528"/>
      <c r="U20" s="26"/>
      <c r="X20" s="26"/>
      <c r="AO20" s="26"/>
    </row>
    <row r="21" ht="12.0" customHeight="1">
      <c r="A21" s="26"/>
      <c r="B21" s="529"/>
      <c r="C21" s="530"/>
      <c r="D21" s="26"/>
      <c r="E21" s="26"/>
      <c r="F21" s="531" t="s">
        <v>303</v>
      </c>
      <c r="G21" s="532"/>
      <c r="H21" s="533">
        <f t="shared" si="3"/>
        <v>0</v>
      </c>
      <c r="I21" s="521">
        <f t="shared" si="4"/>
        <v>0</v>
      </c>
      <c r="J21" s="521">
        <f t="shared" si="5"/>
        <v>0</v>
      </c>
      <c r="K21" s="534">
        <f t="shared" si="6"/>
        <v>0</v>
      </c>
      <c r="L21" s="521">
        <f t="shared" si="7"/>
        <v>0</v>
      </c>
      <c r="M21" s="535">
        <f>LOGSHEET!T22</f>
        <v>0</v>
      </c>
      <c r="O21" s="525" t="s">
        <v>304</v>
      </c>
      <c r="P21" s="526"/>
      <c r="Q21" s="526"/>
      <c r="R21" s="527"/>
      <c r="S21" s="536"/>
      <c r="T21" s="537"/>
      <c r="U21" s="26"/>
      <c r="X21" s="26"/>
      <c r="AO21" s="26"/>
    </row>
    <row r="22" ht="12.0" customHeight="1">
      <c r="A22" s="26"/>
      <c r="B22" s="407"/>
      <c r="C22" s="26"/>
      <c r="D22" s="26"/>
      <c r="E22" s="26"/>
      <c r="F22" s="519" t="s">
        <v>305</v>
      </c>
      <c r="G22" s="12"/>
      <c r="H22" s="520">
        <f t="shared" si="3"/>
        <v>213750</v>
      </c>
      <c r="I22" s="522">
        <f t="shared" si="4"/>
        <v>4410</v>
      </c>
      <c r="J22" s="522">
        <f t="shared" si="5"/>
        <v>3760</v>
      </c>
      <c r="K22" s="523">
        <f t="shared" si="6"/>
        <v>0</v>
      </c>
      <c r="L22" s="522">
        <f t="shared" si="7"/>
        <v>8170</v>
      </c>
      <c r="M22" s="524">
        <f>LOGSHEET!T23</f>
        <v>221920</v>
      </c>
      <c r="O22" s="538" t="s">
        <v>306</v>
      </c>
      <c r="P22" s="526"/>
      <c r="Q22" s="526"/>
      <c r="R22" s="539"/>
      <c r="S22" s="536"/>
      <c r="T22" s="508"/>
      <c r="U22" s="26" t="str">
        <f>R25</f>
        <v/>
      </c>
      <c r="X22" s="26"/>
      <c r="AO22" s="26"/>
    </row>
    <row r="23" ht="12.0" customHeight="1">
      <c r="A23" s="26"/>
      <c r="B23" s="407"/>
      <c r="C23" s="26"/>
      <c r="D23" s="26"/>
      <c r="E23" s="26"/>
      <c r="F23" s="531" t="s">
        <v>307</v>
      </c>
      <c r="G23" s="532"/>
      <c r="H23" s="533">
        <f t="shared" si="3"/>
        <v>428090</v>
      </c>
      <c r="I23" s="521">
        <f t="shared" si="4"/>
        <v>11130</v>
      </c>
      <c r="J23" s="521">
        <f t="shared" si="5"/>
        <v>12450</v>
      </c>
      <c r="K23" s="534">
        <f t="shared" si="6"/>
        <v>0</v>
      </c>
      <c r="L23" s="521">
        <f t="shared" si="7"/>
        <v>23580</v>
      </c>
      <c r="M23" s="535">
        <f>LOGSHEET!T24</f>
        <v>451670</v>
      </c>
      <c r="N23" s="540"/>
      <c r="O23" s="540"/>
      <c r="P23" s="541"/>
      <c r="Q23" s="542"/>
      <c r="R23" s="543"/>
      <c r="S23" s="543"/>
      <c r="T23" s="543"/>
      <c r="U23" s="26"/>
      <c r="X23" s="26"/>
      <c r="AO23" s="26"/>
    </row>
    <row r="24" ht="12.0" customHeight="1">
      <c r="A24" s="26"/>
      <c r="B24" s="497"/>
      <c r="C24" s="530"/>
      <c r="D24" s="530"/>
      <c r="E24" s="530"/>
      <c r="F24" s="519" t="s">
        <v>308</v>
      </c>
      <c r="G24" s="12"/>
      <c r="H24" s="520">
        <f t="shared" si="3"/>
        <v>22846</v>
      </c>
      <c r="I24" s="522">
        <f t="shared" si="4"/>
        <v>0</v>
      </c>
      <c r="J24" s="522">
        <f t="shared" si="5"/>
        <v>0</v>
      </c>
      <c r="K24" s="523" t="str">
        <f t="shared" si="6"/>
        <v/>
      </c>
      <c r="L24" s="522">
        <f t="shared" si="7"/>
        <v>0</v>
      </c>
      <c r="M24" s="524">
        <f>LOGSHEET!T25</f>
        <v>22846</v>
      </c>
      <c r="N24" s="540"/>
      <c r="O24" s="540"/>
      <c r="P24" s="27"/>
      <c r="Q24" s="27"/>
      <c r="R24" s="27"/>
      <c r="S24" s="27"/>
      <c r="T24" s="27"/>
      <c r="U24" s="26"/>
      <c r="X24" s="26"/>
      <c r="AO24" s="26"/>
    </row>
    <row r="25" ht="12.0" customHeight="1">
      <c r="A25" s="26"/>
      <c r="B25" s="26"/>
      <c r="C25" s="26"/>
      <c r="D25" s="26"/>
      <c r="E25" s="26"/>
      <c r="F25" s="544" t="s">
        <v>309</v>
      </c>
      <c r="G25" s="20"/>
      <c r="H25" s="545">
        <f t="shared" si="3"/>
        <v>100260</v>
      </c>
      <c r="I25" s="546">
        <f t="shared" si="4"/>
        <v>5000</v>
      </c>
      <c r="J25" s="546">
        <f t="shared" si="5"/>
        <v>0</v>
      </c>
      <c r="K25" s="547">
        <f t="shared" si="6"/>
        <v>0</v>
      </c>
      <c r="L25" s="546">
        <f t="shared" si="7"/>
        <v>5000</v>
      </c>
      <c r="M25" s="548">
        <f>LOGSHEET!AA24</f>
        <v>105260</v>
      </c>
      <c r="N25" s="540"/>
      <c r="O25" s="540"/>
      <c r="P25" s="26"/>
      <c r="Q25" s="26"/>
      <c r="R25" s="26"/>
      <c r="S25" s="26"/>
      <c r="T25" s="26"/>
      <c r="U25" s="26"/>
      <c r="X25" s="26"/>
      <c r="AO25" s="26"/>
    </row>
    <row r="26" ht="12.0" customHeight="1">
      <c r="A26" s="26"/>
      <c r="B26" s="26"/>
      <c r="C26" s="26"/>
      <c r="D26" s="26"/>
      <c r="E26" s="26"/>
      <c r="F26" s="549"/>
      <c r="G26" s="550"/>
      <c r="H26" s="551" t="s">
        <v>310</v>
      </c>
      <c r="I26" s="550"/>
      <c r="J26" s="550"/>
      <c r="K26" s="552"/>
      <c r="L26" s="157"/>
      <c r="M26" s="553" t="s">
        <v>311</v>
      </c>
      <c r="N26" s="554"/>
      <c r="O26" s="554"/>
      <c r="P26" s="554"/>
      <c r="Q26" s="554"/>
      <c r="R26" s="554"/>
      <c r="S26" s="554"/>
      <c r="T26" s="555"/>
      <c r="U26" s="26"/>
    </row>
    <row r="27" ht="12.0" customHeight="1">
      <c r="A27" s="26"/>
      <c r="B27" s="556" t="s">
        <v>312</v>
      </c>
      <c r="C27" s="557"/>
      <c r="D27" s="557"/>
      <c r="E27" s="558">
        <f>DATE(YEAR(T4),MONTH(T4)+1,1)-T4</f>
        <v>4</v>
      </c>
      <c r="F27" s="559" t="s">
        <v>294</v>
      </c>
      <c r="G27" s="560" t="s">
        <v>213</v>
      </c>
      <c r="H27" s="561" t="s">
        <v>295</v>
      </c>
      <c r="I27" s="562" t="s">
        <v>2</v>
      </c>
      <c r="J27" s="562" t="s">
        <v>3</v>
      </c>
      <c r="K27" s="563" t="s">
        <v>4</v>
      </c>
      <c r="M27" s="564">
        <v>46108.0</v>
      </c>
      <c r="N27" s="25"/>
      <c r="O27" s="565" t="s">
        <v>2</v>
      </c>
      <c r="P27" s="566" t="s">
        <v>3</v>
      </c>
      <c r="Q27" s="567" t="s">
        <v>4</v>
      </c>
      <c r="R27" s="566" t="s">
        <v>4</v>
      </c>
      <c r="S27" s="568" t="s">
        <v>6</v>
      </c>
      <c r="T27" s="569" t="s">
        <v>296</v>
      </c>
      <c r="U27" s="26"/>
    </row>
    <row r="28" ht="12.0" customHeight="1">
      <c r="A28" s="26"/>
      <c r="B28" s="556" t="s">
        <v>313</v>
      </c>
      <c r="C28" s="557"/>
      <c r="D28" s="557"/>
      <c r="E28" s="558">
        <v>1280000.0</v>
      </c>
      <c r="F28" s="570" t="s">
        <v>297</v>
      </c>
      <c r="G28" s="299"/>
      <c r="H28" s="534">
        <v>641840.0</v>
      </c>
      <c r="I28" s="534">
        <v>15540.0</v>
      </c>
      <c r="J28" s="571">
        <v>16210.0</v>
      </c>
      <c r="K28" s="521"/>
      <c r="M28" s="572" t="s">
        <v>297</v>
      </c>
      <c r="N28" s="30"/>
      <c r="O28" s="573">
        <v>11940.0</v>
      </c>
      <c r="P28" s="574">
        <v>13380.0</v>
      </c>
      <c r="Q28" s="574">
        <v>16960.0</v>
      </c>
      <c r="R28" s="574"/>
      <c r="S28" s="574">
        <v>42280.0</v>
      </c>
      <c r="T28" s="575">
        <v>641840.0</v>
      </c>
      <c r="U28" s="26"/>
    </row>
    <row r="29" ht="12.0" customHeight="1">
      <c r="A29" s="26"/>
      <c r="B29" s="556" t="s">
        <v>314</v>
      </c>
      <c r="C29" s="557"/>
      <c r="D29" s="557"/>
      <c r="E29" s="576">
        <f>M19</f>
        <v>673590</v>
      </c>
      <c r="F29" s="577" t="s">
        <v>301</v>
      </c>
      <c r="G29" s="299"/>
      <c r="H29" s="534">
        <v>0.0</v>
      </c>
      <c r="I29" s="521">
        <v>0.0</v>
      </c>
      <c r="J29" s="571">
        <v>0.0</v>
      </c>
      <c r="K29" s="578"/>
      <c r="M29" s="579" t="s">
        <v>301</v>
      </c>
      <c r="N29" s="226"/>
      <c r="O29" s="580">
        <v>0.0</v>
      </c>
      <c r="P29" s="581">
        <v>0.0</v>
      </c>
      <c r="Q29" s="581">
        <v>0.0</v>
      </c>
      <c r="R29" s="581"/>
      <c r="S29" s="574">
        <v>0.0</v>
      </c>
      <c r="T29" s="582">
        <v>0.0</v>
      </c>
      <c r="U29" s="26"/>
    </row>
    <row r="30" ht="12.0" customHeight="1">
      <c r="A30" s="26"/>
      <c r="B30" s="556" t="s">
        <v>315</v>
      </c>
      <c r="C30" s="583"/>
      <c r="D30" s="583"/>
      <c r="E30" s="584">
        <f>E28-E29</f>
        <v>606410</v>
      </c>
      <c r="F30" s="570" t="s">
        <v>303</v>
      </c>
      <c r="G30" s="299"/>
      <c r="H30" s="534">
        <v>0.0</v>
      </c>
      <c r="I30" s="521">
        <v>0.0</v>
      </c>
      <c r="J30" s="521">
        <v>0.0</v>
      </c>
      <c r="K30" s="521"/>
      <c r="M30" s="572" t="s">
        <v>303</v>
      </c>
      <c r="N30" s="30"/>
      <c r="O30" s="573">
        <v>0.0</v>
      </c>
      <c r="P30" s="574">
        <v>0.0</v>
      </c>
      <c r="Q30" s="574">
        <v>0.0</v>
      </c>
      <c r="R30" s="574"/>
      <c r="S30" s="574">
        <v>0.0</v>
      </c>
      <c r="T30" s="575">
        <v>0.0</v>
      </c>
      <c r="U30" s="26"/>
    </row>
    <row r="31" ht="12.0" customHeight="1">
      <c r="A31" s="26"/>
      <c r="B31" s="556" t="s">
        <v>316</v>
      </c>
      <c r="C31" s="583"/>
      <c r="D31" s="583"/>
      <c r="E31" s="558">
        <f>MROUND(E30/E27,10)</f>
        <v>151600</v>
      </c>
      <c r="F31" s="577" t="s">
        <v>305</v>
      </c>
      <c r="G31" s="299"/>
      <c r="H31" s="534">
        <v>213750.0</v>
      </c>
      <c r="I31" s="578">
        <v>4410.0</v>
      </c>
      <c r="J31" s="578">
        <v>3760.0</v>
      </c>
      <c r="K31" s="578"/>
      <c r="M31" s="579" t="s">
        <v>305</v>
      </c>
      <c r="N31" s="226"/>
      <c r="O31" s="580">
        <v>4640.0</v>
      </c>
      <c r="P31" s="581">
        <v>4710.0</v>
      </c>
      <c r="Q31" s="581">
        <v>5180.0</v>
      </c>
      <c r="R31" s="581"/>
      <c r="S31" s="574">
        <v>14530.0</v>
      </c>
      <c r="T31" s="582">
        <v>213750.0</v>
      </c>
      <c r="U31" s="26"/>
    </row>
    <row r="32" ht="12.0" customHeight="1">
      <c r="A32" s="26"/>
      <c r="B32" s="585" t="str">
        <f>CONCATENATE("Day Total"," ","Achived"," - ",TEXT(L19,"0"),)</f>
        <v>Day Total Achived - 31750</v>
      </c>
      <c r="C32" s="586"/>
      <c r="D32" s="586"/>
      <c r="E32" s="587"/>
      <c r="F32" s="570" t="s">
        <v>307</v>
      </c>
      <c r="G32" s="299"/>
      <c r="H32" s="534">
        <v>428090.0</v>
      </c>
      <c r="I32" s="521">
        <v>11130.0</v>
      </c>
      <c r="J32" s="521">
        <v>12450.0</v>
      </c>
      <c r="K32" s="521"/>
      <c r="M32" s="572" t="s">
        <v>307</v>
      </c>
      <c r="N32" s="30"/>
      <c r="O32" s="573">
        <v>7300.0</v>
      </c>
      <c r="P32" s="574">
        <v>8670.0</v>
      </c>
      <c r="Q32" s="574">
        <v>11780.0</v>
      </c>
      <c r="R32" s="574"/>
      <c r="S32" s="574">
        <v>27750.0</v>
      </c>
      <c r="T32" s="575">
        <v>428090.0</v>
      </c>
      <c r="U32" s="26"/>
    </row>
    <row r="33" ht="12.0" customHeight="1">
      <c r="A33" s="26"/>
      <c r="B33" s="33" t="str">
        <f>CONCATENATE(R3," ",T3," ",(TEXT(T4,"DD/MM/YY")))</f>
        <v>SHIFT- 3rd 28/03/26</v>
      </c>
      <c r="C33" s="33"/>
      <c r="D33" s="33"/>
      <c r="E33" s="26"/>
      <c r="F33" s="577" t="s">
        <v>308</v>
      </c>
      <c r="G33" s="299"/>
      <c r="H33" s="534">
        <v>22846.0</v>
      </c>
      <c r="I33" s="578">
        <v>0.0</v>
      </c>
      <c r="J33" s="578">
        <v>0.0</v>
      </c>
      <c r="K33" s="578"/>
      <c r="M33" s="577" t="s">
        <v>308</v>
      </c>
      <c r="N33" s="25"/>
      <c r="O33" s="588">
        <v>0.0</v>
      </c>
      <c r="P33" s="589">
        <v>0.0</v>
      </c>
      <c r="Q33" s="589">
        <v>0.0</v>
      </c>
      <c r="R33" s="589"/>
      <c r="S33" s="589">
        <v>0.0</v>
      </c>
      <c r="T33" s="590">
        <v>22846.0</v>
      </c>
      <c r="U33" s="26"/>
    </row>
    <row r="34" ht="14.25" customHeight="1">
      <c r="A34" s="26"/>
      <c r="B34" s="26"/>
      <c r="C34" s="26"/>
      <c r="D34" s="26"/>
      <c r="E34" s="26"/>
      <c r="F34" s="577" t="s">
        <v>309</v>
      </c>
      <c r="G34" s="299"/>
      <c r="H34" s="534">
        <v>100260.0</v>
      </c>
      <c r="I34" s="578">
        <v>5000.0</v>
      </c>
      <c r="J34" s="578">
        <v>0.0</v>
      </c>
      <c r="K34" s="578"/>
      <c r="L34" s="26"/>
      <c r="M34" s="577" t="s">
        <v>309</v>
      </c>
      <c r="N34" s="25"/>
      <c r="O34" s="588">
        <v>5460.0</v>
      </c>
      <c r="P34" s="589">
        <v>0.0</v>
      </c>
      <c r="Q34" s="589">
        <v>0.0</v>
      </c>
      <c r="R34" s="589"/>
      <c r="S34" s="589">
        <v>5460.0</v>
      </c>
      <c r="T34" s="590">
        <v>100260.0</v>
      </c>
      <c r="U34" s="26"/>
      <c r="X34" s="26"/>
      <c r="AO34" s="26"/>
    </row>
    <row r="35" ht="14.25" customHeight="1">
      <c r="A35" s="26"/>
      <c r="B35" s="26"/>
      <c r="C35" s="26"/>
      <c r="D35" s="26"/>
      <c r="E35" s="26"/>
      <c r="F35" s="579"/>
      <c r="G35" s="591"/>
      <c r="H35" s="592"/>
      <c r="I35" s="365"/>
      <c r="J35" s="365"/>
      <c r="K35" s="365"/>
      <c r="L35" s="26"/>
      <c r="M35" s="593"/>
      <c r="N35" s="157"/>
      <c r="O35" s="594"/>
      <c r="P35" s="594"/>
      <c r="Q35" s="594"/>
      <c r="R35" s="594"/>
      <c r="S35" s="594"/>
      <c r="T35" s="594"/>
      <c r="U35" s="26"/>
      <c r="X35" s="26"/>
      <c r="AO35" s="26"/>
    </row>
    <row r="36" ht="15.75" customHeight="1">
      <c r="A36" s="26"/>
      <c r="B36" s="26"/>
      <c r="C36" s="26"/>
      <c r="D36" s="26"/>
      <c r="E36" s="26"/>
      <c r="F36" s="595" t="s">
        <v>294</v>
      </c>
      <c r="G36" s="596" t="s">
        <v>213</v>
      </c>
      <c r="H36" s="597" t="s">
        <v>295</v>
      </c>
      <c r="I36" s="598" t="s">
        <v>2</v>
      </c>
      <c r="J36" s="598" t="s">
        <v>3</v>
      </c>
      <c r="K36" s="599" t="s">
        <v>4</v>
      </c>
      <c r="P36" s="26"/>
      <c r="Q36" s="26"/>
      <c r="R36" s="26"/>
      <c r="S36" s="26"/>
      <c r="T36" s="26"/>
      <c r="U36" s="26"/>
      <c r="X36" s="26"/>
      <c r="AO36" s="26"/>
    </row>
    <row r="37" ht="15.75" customHeight="1">
      <c r="A37" s="26"/>
      <c r="B37" s="26"/>
      <c r="C37" s="26"/>
      <c r="D37" s="26"/>
      <c r="E37" s="26"/>
      <c r="F37" s="600" t="s">
        <v>297</v>
      </c>
      <c r="G37" s="601"/>
      <c r="H37" s="602">
        <f t="shared" ref="H37:H43" si="8">T28</f>
        <v>641840</v>
      </c>
      <c r="I37" s="602" t="b">
        <f>IF($T$3="1st",LOGSHEET!S20)</f>
        <v>0</v>
      </c>
      <c r="J37" s="603" t="b">
        <f>IF($T$3="2nd",LOGSHEET!S20)</f>
        <v>0</v>
      </c>
      <c r="K37" s="603">
        <f>IF($T$3="3rd",LOGSHEET!S20)</f>
        <v>0</v>
      </c>
      <c r="P37" s="26"/>
      <c r="Q37" s="26"/>
      <c r="R37" s="26"/>
      <c r="S37" s="26"/>
      <c r="T37" s="26"/>
      <c r="U37" s="26"/>
      <c r="X37" s="26"/>
      <c r="AO37" s="26"/>
    </row>
    <row r="38" ht="15.75" customHeight="1">
      <c r="A38" s="26"/>
      <c r="B38" s="26"/>
      <c r="C38" s="26"/>
      <c r="D38" s="26"/>
      <c r="E38" s="26"/>
      <c r="F38" s="604" t="s">
        <v>301</v>
      </c>
      <c r="G38" s="601"/>
      <c r="H38" s="602">
        <f t="shared" si="8"/>
        <v>0</v>
      </c>
      <c r="I38" s="602" t="b">
        <f>IF($T$3="1st",LOGSHEET!S21)</f>
        <v>0</v>
      </c>
      <c r="J38" s="603" t="b">
        <f>IF($T$3="2nd",LOGSHEET!S21)</f>
        <v>0</v>
      </c>
      <c r="K38" s="603">
        <f>IF($T$3="3rd",LOGSHEET!S21)</f>
        <v>0</v>
      </c>
      <c r="P38" s="26"/>
      <c r="Q38" s="26"/>
      <c r="R38" s="26"/>
      <c r="S38" s="26"/>
      <c r="T38" s="26"/>
      <c r="U38" s="26"/>
      <c r="X38" s="26"/>
      <c r="AO38" s="26"/>
    </row>
    <row r="39" ht="15.75" customHeight="1">
      <c r="A39" s="26"/>
      <c r="B39" s="26"/>
      <c r="C39" s="26"/>
      <c r="D39" s="26"/>
      <c r="E39" s="26"/>
      <c r="F39" s="605" t="s">
        <v>303</v>
      </c>
      <c r="G39" s="606"/>
      <c r="H39" s="602">
        <f t="shared" si="8"/>
        <v>0</v>
      </c>
      <c r="I39" s="602" t="b">
        <f>IF($T$3="1st",LOGSHEET!S22)</f>
        <v>0</v>
      </c>
      <c r="J39" s="603" t="b">
        <f>IF($T$3="2nd",LOGSHEET!S22)</f>
        <v>0</v>
      </c>
      <c r="K39" s="603">
        <f>IF($T$3="3rd",LOGSHEET!S22)</f>
        <v>0</v>
      </c>
      <c r="P39" s="26"/>
      <c r="Q39" s="26"/>
      <c r="R39" s="26"/>
      <c r="S39" s="26"/>
      <c r="T39" s="26"/>
      <c r="U39" s="26"/>
      <c r="X39" s="26"/>
      <c r="AO39" s="26"/>
    </row>
    <row r="40" ht="15.75" customHeight="1">
      <c r="A40" s="26"/>
      <c r="B40" s="26"/>
      <c r="C40" s="26"/>
      <c r="D40" s="26"/>
      <c r="E40" s="26"/>
      <c r="F40" s="607" t="s">
        <v>305</v>
      </c>
      <c r="G40" s="606"/>
      <c r="H40" s="602">
        <f t="shared" si="8"/>
        <v>213750</v>
      </c>
      <c r="I40" s="602" t="b">
        <f>IF($T$3="1st",LOGSHEET!S23)</f>
        <v>0</v>
      </c>
      <c r="J40" s="603" t="b">
        <f>IF($T$3="2nd",LOGSHEET!S23)</f>
        <v>0</v>
      </c>
      <c r="K40" s="603">
        <f>IF($T$3="3rd",LOGSHEET!S23)</f>
        <v>0</v>
      </c>
      <c r="P40" s="26"/>
      <c r="Q40" s="26"/>
      <c r="R40" s="26"/>
      <c r="S40" s="26"/>
      <c r="T40" s="26"/>
      <c r="U40" s="26"/>
      <c r="X40" s="26"/>
      <c r="AO40" s="26"/>
    </row>
    <row r="41" ht="15.75" customHeight="1">
      <c r="A41" s="26"/>
      <c r="B41" s="26"/>
      <c r="C41" s="26"/>
      <c r="D41" s="26"/>
      <c r="E41" s="26"/>
      <c r="F41" s="605" t="s">
        <v>307</v>
      </c>
      <c r="G41" s="606"/>
      <c r="H41" s="602">
        <f t="shared" si="8"/>
        <v>428090</v>
      </c>
      <c r="I41" s="602" t="b">
        <f>IF($T$3="1st",LOGSHEET!S24)</f>
        <v>0</v>
      </c>
      <c r="J41" s="603" t="b">
        <f>IF($T$3="2nd",LOGSHEET!S24)</f>
        <v>0</v>
      </c>
      <c r="K41" s="603">
        <f>IF($T$3="3rd",LOGSHEET!S24)</f>
        <v>0</v>
      </c>
      <c r="P41" s="26"/>
      <c r="Q41" s="26"/>
      <c r="R41" s="26"/>
      <c r="S41" s="26"/>
      <c r="T41" s="26"/>
      <c r="U41" s="26"/>
      <c r="X41" s="26"/>
      <c r="AO41" s="26"/>
    </row>
    <row r="42" ht="15.75" customHeight="1">
      <c r="A42" s="26"/>
      <c r="B42" s="26"/>
      <c r="C42" s="26"/>
      <c r="D42" s="26"/>
      <c r="E42" s="26"/>
      <c r="F42" s="608" t="s">
        <v>308</v>
      </c>
      <c r="G42" s="609"/>
      <c r="H42" s="602">
        <f t="shared" si="8"/>
        <v>22846</v>
      </c>
      <c r="I42" s="602" t="b">
        <f>IF($T$3="1st",LOGSHEET!S25)</f>
        <v>0</v>
      </c>
      <c r="J42" s="603" t="b">
        <f>IF($T$3="2nd",LOGSHEET!S25)</f>
        <v>0</v>
      </c>
      <c r="K42" s="603" t="str">
        <f>IF($T$3="3rd",LOGSHEET!S25)</f>
        <v/>
      </c>
      <c r="P42" s="26"/>
      <c r="Q42" s="26"/>
      <c r="R42" s="26"/>
      <c r="S42" s="26"/>
      <c r="T42" s="26"/>
      <c r="U42" s="26"/>
      <c r="X42" s="26"/>
      <c r="AO42" s="26"/>
    </row>
    <row r="43" ht="15.75" customHeight="1">
      <c r="A43" s="26"/>
      <c r="B43" s="26"/>
      <c r="C43" s="26"/>
      <c r="D43" s="26"/>
      <c r="E43" s="26"/>
      <c r="F43" s="608" t="s">
        <v>309</v>
      </c>
      <c r="G43" s="609"/>
      <c r="H43" s="602">
        <f t="shared" si="8"/>
        <v>100260</v>
      </c>
      <c r="I43" s="602" t="b">
        <f>IF($T$3="1st",LOGSHEET!Z24)</f>
        <v>0</v>
      </c>
      <c r="J43" s="603" t="b">
        <f>IF($T$3="2nd",LOGSHEET!Z24)</f>
        <v>0</v>
      </c>
      <c r="K43" s="603">
        <f>IF($T$3="3rd",LOGSHEET!Z24)</f>
        <v>0</v>
      </c>
      <c r="L43" s="27"/>
      <c r="M43" s="27"/>
      <c r="N43" s="27"/>
      <c r="O43" s="610"/>
      <c r="P43" s="26"/>
      <c r="Q43" s="26"/>
      <c r="R43" s="26"/>
      <c r="S43" s="26"/>
      <c r="T43" s="26"/>
      <c r="U43" s="26"/>
      <c r="X43" s="26"/>
      <c r="AO43" s="26"/>
    </row>
    <row r="44" ht="15.75" customHeight="1">
      <c r="A44" s="26"/>
      <c r="B44" s="26"/>
      <c r="C44" s="26"/>
      <c r="D44" s="26"/>
      <c r="E44" s="26"/>
      <c r="F44" s="26"/>
      <c r="G44" s="26"/>
      <c r="H44" s="611"/>
      <c r="I44" s="612"/>
      <c r="N44" s="27"/>
      <c r="O44" s="610"/>
      <c r="P44" s="26"/>
      <c r="Q44" s="26"/>
      <c r="R44" s="26"/>
      <c r="S44" s="26"/>
      <c r="T44" s="26"/>
      <c r="U44" s="26"/>
      <c r="X44" s="26"/>
      <c r="AO44" s="26"/>
    </row>
    <row r="45" ht="15.75" customHeight="1">
      <c r="A45" s="26"/>
      <c r="B45" s="26"/>
      <c r="C45" s="26"/>
      <c r="D45" s="26"/>
      <c r="E45" s="26"/>
      <c r="F45" s="26"/>
      <c r="G45" s="26"/>
      <c r="H45" s="611"/>
      <c r="I45" s="612"/>
      <c r="N45" s="27"/>
      <c r="O45" s="610"/>
      <c r="P45" s="26"/>
      <c r="Q45" s="26"/>
      <c r="R45" s="26"/>
      <c r="S45" s="26"/>
      <c r="T45" s="26"/>
      <c r="U45" s="26"/>
      <c r="X45" s="26"/>
      <c r="AO45" s="26"/>
    </row>
    <row r="46" ht="15.75" customHeight="1">
      <c r="A46" s="26"/>
      <c r="B46" s="26"/>
      <c r="C46" s="26"/>
      <c r="D46" s="26"/>
      <c r="E46" s="26"/>
      <c r="F46" s="26"/>
      <c r="G46" s="26"/>
      <c r="H46" s="611"/>
      <c r="I46" s="612"/>
      <c r="N46" s="27"/>
      <c r="O46" s="610"/>
      <c r="P46" s="26"/>
      <c r="Q46" s="26"/>
      <c r="R46" s="26"/>
      <c r="S46" s="26"/>
      <c r="T46" s="26"/>
      <c r="U46" s="26"/>
      <c r="X46" s="26"/>
      <c r="AO46" s="26"/>
    </row>
    <row r="47" ht="15.75" customHeight="1">
      <c r="A47" s="26"/>
      <c r="B47" s="26"/>
      <c r="C47" s="26"/>
      <c r="D47" s="26"/>
      <c r="E47" s="26"/>
      <c r="F47" s="26"/>
      <c r="G47" s="26"/>
      <c r="H47" s="611"/>
      <c r="I47" s="612"/>
      <c r="N47" s="27"/>
      <c r="O47" s="610"/>
      <c r="P47" s="26"/>
      <c r="Q47" s="26"/>
      <c r="R47" s="26"/>
      <c r="S47" s="26"/>
      <c r="T47" s="26"/>
      <c r="U47" s="26"/>
      <c r="X47" s="26"/>
      <c r="AO47" s="26"/>
    </row>
    <row r="48" ht="15.75" customHeight="1">
      <c r="A48" s="26"/>
      <c r="B48" s="26"/>
      <c r="C48" s="26"/>
      <c r="D48" s="26"/>
      <c r="E48" s="26"/>
      <c r="F48" s="26"/>
      <c r="G48" s="26"/>
      <c r="H48" s="611"/>
      <c r="I48" s="612"/>
      <c r="N48" s="27"/>
      <c r="O48" s="610"/>
      <c r="P48" s="26"/>
      <c r="Q48" s="26"/>
      <c r="R48" s="26"/>
      <c r="S48" s="26"/>
      <c r="T48" s="26"/>
      <c r="U48" s="26"/>
      <c r="X48" s="26"/>
      <c r="AO48" s="26"/>
    </row>
    <row r="49" ht="15.75" customHeight="1">
      <c r="A49" s="26"/>
      <c r="B49" s="26"/>
      <c r="C49" s="26"/>
      <c r="D49" s="26"/>
      <c r="E49" s="26"/>
      <c r="F49" s="26"/>
      <c r="G49" s="26"/>
      <c r="H49" s="611"/>
      <c r="I49" s="612"/>
      <c r="N49" s="27"/>
      <c r="O49" s="610"/>
      <c r="P49" s="26"/>
      <c r="Q49" s="26"/>
      <c r="R49" s="26"/>
      <c r="S49" s="26"/>
      <c r="T49" s="26"/>
      <c r="U49" s="26"/>
      <c r="X49" s="26"/>
      <c r="AO49" s="26"/>
    </row>
    <row r="50" ht="15.75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</row>
    <row r="51" ht="15.75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</row>
    <row r="52" ht="15.75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</row>
    <row r="53" ht="15.75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</row>
    <row r="54" ht="15.75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</row>
    <row r="55" ht="15.75" customHeight="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</row>
    <row r="56" ht="15.75" customHeight="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</row>
    <row r="57" ht="15.75" customHeight="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</row>
    <row r="58" ht="15.75" customHeight="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</row>
    <row r="59" ht="15.75" customHeight="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</row>
    <row r="60" ht="15.75" customHeight="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</row>
    <row r="61" ht="15.75" customHeight="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</row>
    <row r="62" ht="15.75" customHeight="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</row>
    <row r="63" ht="15.75" customHeight="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</row>
    <row r="64" ht="15.75" customHeight="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</row>
    <row r="65" ht="15.75" customHeight="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</row>
    <row r="66" ht="15.75" customHeight="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</row>
    <row r="67" ht="15.75" customHeight="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</row>
    <row r="68" ht="15.75" customHeight="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</row>
    <row r="69" ht="15.75" customHeight="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</row>
    <row r="70" ht="15.75" customHeight="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</row>
    <row r="71" ht="15.75" customHeight="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</row>
    <row r="72" ht="15.75" customHeight="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</row>
    <row r="73" ht="15.75" customHeight="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</row>
    <row r="74" ht="15.75" customHeight="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</row>
    <row r="75" ht="15.75" customHeight="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</row>
    <row r="76" ht="15.75" customHeight="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</row>
    <row r="77" ht="15.75" customHeight="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</row>
    <row r="78" ht="15.75" customHeight="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</row>
    <row r="79" ht="15.75" customHeight="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</row>
    <row r="80" ht="15.75" customHeight="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</row>
    <row r="81" ht="15.75" customHeight="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</row>
    <row r="82" ht="15.75" customHeight="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</row>
    <row r="83" ht="15.75" customHeight="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</row>
    <row r="84" ht="15.75" customHeight="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</row>
    <row r="85" ht="15.75" customHeight="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</row>
    <row r="86" ht="15.75" customHeight="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</row>
    <row r="87" ht="15.75" customHeight="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</row>
    <row r="88" ht="15.7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</row>
    <row r="89" ht="15.75" customHeight="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</row>
    <row r="90" ht="15.75" customHeight="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</row>
    <row r="91" ht="15.75" customHeight="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</row>
    <row r="92" ht="15.75" customHeight="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</row>
    <row r="93" ht="15.75" customHeight="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</row>
    <row r="94" ht="15.75" customHeight="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</row>
    <row r="95" ht="15.75" customHeight="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</row>
    <row r="96" ht="15.75" customHeight="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</row>
    <row r="97" ht="15.75" customHeight="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</row>
    <row r="98" ht="15.75" customHeight="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</row>
    <row r="99" ht="15.75" customHeight="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</row>
    <row r="100" ht="15.75" customHeight="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</row>
    <row r="101" ht="15.75" customHeight="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</row>
    <row r="102" ht="15.75" customHeight="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</row>
    <row r="103" ht="15.75" customHeight="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</row>
    <row r="104" ht="15.75" customHeight="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</row>
    <row r="105" ht="15.75" customHeight="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</row>
    <row r="106" ht="15.75" customHeight="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</row>
    <row r="107" ht="15.75" customHeight="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</row>
    <row r="108" ht="15.75" customHeight="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</row>
    <row r="109" ht="15.75" customHeight="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</row>
    <row r="110" ht="15.75" customHeight="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</row>
    <row r="111" ht="15.75" customHeight="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</row>
    <row r="112" ht="15.75" customHeight="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</row>
    <row r="113" ht="15.75" customHeight="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</row>
    <row r="114" ht="15.75" customHeight="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</row>
    <row r="115" ht="15.75" customHeight="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</row>
    <row r="116" ht="15.75" customHeight="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</row>
    <row r="117" ht="15.75" customHeight="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</row>
    <row r="118" ht="15.75" customHeight="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</row>
    <row r="119" ht="15.75" customHeight="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</row>
    <row r="120" ht="15.75" customHeight="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</row>
    <row r="121" ht="15.75" customHeight="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</row>
    <row r="122" ht="15.75" customHeight="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</row>
    <row r="123" ht="15.75" customHeight="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</row>
    <row r="124" ht="15.75" customHeight="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</row>
    <row r="125" ht="15.75" customHeight="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</row>
    <row r="126" ht="15.75" customHeight="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</row>
    <row r="127" ht="15.75" customHeight="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</row>
    <row r="128" ht="15.75" customHeight="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</row>
    <row r="129" ht="15.75" customHeight="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</row>
    <row r="130" ht="15.75" customHeight="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</row>
    <row r="131" ht="15.75" customHeight="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</row>
    <row r="132" ht="15.75" customHeight="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</row>
    <row r="133" ht="15.75" customHeight="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</row>
    <row r="134" ht="15.75" customHeight="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</row>
    <row r="135" ht="15.75" customHeight="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</row>
    <row r="136" ht="15.75" customHeight="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</row>
    <row r="137" ht="15.75" customHeight="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</row>
    <row r="138" ht="15.75" customHeight="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</row>
    <row r="139" ht="15.75" customHeight="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</row>
    <row r="140" ht="15.75" customHeight="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</row>
    <row r="141" ht="15.75" customHeight="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</row>
    <row r="142" ht="15.75" customHeight="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</row>
    <row r="143" ht="15.75" customHeight="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</row>
    <row r="144" ht="15.75" customHeight="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</row>
    <row r="145" ht="15.75" customHeight="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</row>
    <row r="146" ht="15.75" customHeight="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</row>
    <row r="147" ht="15.75" customHeight="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</row>
    <row r="148" ht="15.75" customHeight="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</row>
    <row r="149" ht="15.75" customHeight="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</row>
    <row r="150" ht="15.75" customHeight="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</row>
    <row r="151" ht="15.75" customHeight="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</row>
    <row r="152" ht="15.75" customHeight="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</row>
    <row r="153" ht="15.75" customHeight="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</row>
    <row r="154" ht="15.75" customHeight="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</row>
    <row r="155" ht="15.75" customHeight="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</row>
    <row r="156" ht="15.75" customHeight="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</row>
    <row r="157" ht="15.75" customHeight="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</row>
    <row r="158" ht="15.75" customHeight="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</row>
    <row r="159" ht="15.75" customHeight="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</row>
    <row r="160" ht="15.75" customHeight="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</row>
    <row r="161" ht="15.75" customHeight="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</row>
    <row r="162" ht="15.75" customHeight="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</row>
    <row r="163" ht="15.75" customHeight="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</row>
    <row r="164" ht="15.75" customHeight="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</row>
    <row r="165" ht="15.75" customHeight="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</row>
    <row r="166" ht="15.75" customHeight="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</row>
    <row r="167" ht="15.75" customHeight="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</row>
    <row r="168" ht="15.75" customHeight="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</row>
    <row r="169" ht="15.75" customHeight="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</row>
    <row r="170" ht="15.75" customHeight="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</row>
    <row r="171" ht="15.75" customHeight="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</row>
    <row r="172" ht="15.75" customHeight="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</row>
    <row r="173" ht="15.75" customHeight="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</row>
    <row r="174" ht="15.75" customHeight="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</row>
    <row r="175" ht="15.75" customHeight="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</row>
    <row r="176" ht="15.75" customHeight="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</row>
    <row r="177" ht="15.75" customHeight="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</row>
    <row r="178" ht="15.75" customHeight="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</row>
    <row r="179" ht="15.75" customHeight="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</row>
    <row r="180" ht="15.75" customHeight="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</row>
    <row r="181" ht="15.75" customHeight="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</row>
    <row r="182" ht="15.75" customHeight="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</row>
    <row r="183" ht="15.75" customHeight="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</row>
    <row r="184" ht="15.75" customHeight="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</row>
    <row r="185" ht="15.75" customHeight="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</row>
    <row r="186" ht="15.75" customHeight="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</row>
    <row r="187" ht="15.75" customHeight="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</row>
    <row r="188" ht="15.75" customHeight="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</row>
    <row r="189" ht="15.75" customHeight="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</row>
    <row r="190" ht="15.75" customHeight="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</row>
    <row r="191" ht="15.75" customHeight="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</row>
    <row r="192" ht="15.75" customHeight="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</row>
    <row r="193" ht="15.75" customHeight="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</row>
    <row r="194" ht="15.75" customHeight="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</row>
    <row r="195" ht="15.75" customHeight="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</row>
    <row r="196" ht="15.75" customHeight="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</row>
    <row r="197" ht="15.75" customHeight="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</row>
    <row r="198" ht="15.75" customHeight="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</row>
    <row r="199" ht="15.75" customHeight="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</row>
    <row r="200" ht="15.75" customHeight="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</row>
    <row r="201" ht="15.75" customHeight="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</row>
    <row r="202" ht="15.75" customHeight="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</row>
    <row r="203" ht="15.75" customHeight="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</row>
    <row r="204" ht="15.75" customHeight="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</row>
    <row r="205" ht="15.75" customHeight="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</row>
    <row r="206" ht="15.75" customHeight="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</row>
    <row r="207" ht="15.75" customHeight="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</row>
    <row r="208" ht="15.75" customHeight="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</row>
    <row r="209" ht="15.75" customHeight="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</row>
    <row r="210" ht="15.75" customHeight="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</row>
    <row r="211" ht="15.75" customHeight="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</row>
    <row r="212" ht="15.75" customHeight="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</row>
    <row r="213" ht="15.75" customHeight="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</row>
    <row r="214" ht="15.75" customHeight="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</row>
    <row r="215" ht="15.75" customHeight="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</row>
    <row r="216" ht="15.75" customHeight="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</row>
    <row r="217" ht="15.75" customHeight="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</row>
    <row r="218" ht="15.75" customHeight="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</row>
    <row r="219" ht="15.75" customHeight="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</row>
    <row r="220" ht="15.75" customHeight="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</row>
    <row r="221" ht="15.75" customHeight="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</row>
    <row r="222" ht="15.75" customHeight="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</row>
    <row r="223" ht="15.75" customHeight="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</row>
    <row r="224" ht="15.75" customHeight="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</row>
    <row r="225" ht="15.75" customHeight="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</row>
    <row r="226" ht="15.75" customHeight="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</row>
    <row r="227" ht="15.75" customHeight="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</row>
    <row r="228" ht="15.75" customHeight="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</row>
    <row r="229" ht="15.75" customHeight="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</row>
    <row r="230" ht="15.75" customHeight="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</row>
    <row r="231" ht="15.75" customHeight="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</row>
    <row r="232" ht="15.75" customHeight="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</row>
    <row r="233" ht="15.75" customHeight="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</row>
    <row r="234" ht="15.75" customHeight="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</row>
    <row r="235" ht="15.75" customHeight="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</row>
    <row r="236" ht="15.75" customHeight="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</row>
    <row r="237" ht="15.75" customHeight="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</row>
    <row r="238" ht="15.75" customHeight="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</row>
    <row r="239" ht="15.75" customHeight="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</row>
    <row r="240" ht="15.75" customHeight="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</row>
    <row r="241" ht="15.75" customHeight="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</row>
    <row r="242" ht="15.75" customHeight="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</row>
    <row r="243" ht="15.75" customHeight="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</row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9">
    <mergeCell ref="K3:L3"/>
    <mergeCell ref="I4:J4"/>
    <mergeCell ref="K4:L4"/>
    <mergeCell ref="I5:J5"/>
    <mergeCell ref="K5:L5"/>
    <mergeCell ref="K16:M16"/>
    <mergeCell ref="F19:G19"/>
    <mergeCell ref="F25:G25"/>
    <mergeCell ref="F28:G28"/>
    <mergeCell ref="F29:G29"/>
    <mergeCell ref="F30:G30"/>
    <mergeCell ref="F31:G31"/>
    <mergeCell ref="F32:G32"/>
    <mergeCell ref="F33:G33"/>
    <mergeCell ref="F34:G34"/>
    <mergeCell ref="M28:N28"/>
    <mergeCell ref="M29:N29"/>
    <mergeCell ref="M30:N30"/>
    <mergeCell ref="M31:N31"/>
    <mergeCell ref="M32:N32"/>
    <mergeCell ref="M33:N33"/>
    <mergeCell ref="M34:N34"/>
    <mergeCell ref="F20:G20"/>
    <mergeCell ref="F21:G21"/>
    <mergeCell ref="F22:G22"/>
    <mergeCell ref="F23:G23"/>
    <mergeCell ref="F24:G24"/>
    <mergeCell ref="M26:T26"/>
    <mergeCell ref="M27:N27"/>
  </mergeCells>
  <conditionalFormatting sqref="X7:AE14">
    <cfRule type="cellIs" dxfId="4" priority="1" operator="greaterThan">
      <formula>0</formula>
    </cfRule>
  </conditionalFormatting>
  <conditionalFormatting sqref="D10:G14 I10:I14 M10 M11:P14 N7:P9 P10">
    <cfRule type="cellIs" dxfId="4" priority="2" operator="greaterThan">
      <formula>0</formula>
    </cfRule>
  </conditionalFormatting>
  <conditionalFormatting sqref="O8:P8">
    <cfRule type="cellIs" dxfId="4" priority="3" operator="greaterThan">
      <formula>0</formula>
    </cfRule>
  </conditionalFormatting>
  <conditionalFormatting sqref="M11 P11">
    <cfRule type="cellIs" dxfId="4" priority="4" operator="greaterThan">
      <formula>0</formula>
    </cfRule>
  </conditionalFormatting>
  <conditionalFormatting sqref="M14 O14:P14">
    <cfRule type="cellIs" dxfId="4" priority="5" operator="greaterThan">
      <formula>0</formula>
    </cfRule>
  </conditionalFormatting>
  <conditionalFormatting sqref="M12 O12:P12">
    <cfRule type="cellIs" dxfId="4" priority="6" operator="greaterThan">
      <formula>0</formula>
    </cfRule>
  </conditionalFormatting>
  <conditionalFormatting sqref="M12 O12:P12">
    <cfRule type="cellIs" dxfId="4" priority="7" operator="greaterThan">
      <formula>0</formula>
    </cfRule>
  </conditionalFormatting>
  <conditionalFormatting sqref="M13 O13:P13">
    <cfRule type="cellIs" dxfId="4" priority="8" operator="greaterThan">
      <formula>0</formula>
    </cfRule>
  </conditionalFormatting>
  <conditionalFormatting sqref="M12 O12:P12">
    <cfRule type="cellIs" dxfId="4" priority="9" operator="greaterThan">
      <formula>0</formula>
    </cfRule>
  </conditionalFormatting>
  <conditionalFormatting sqref="M13 O13:P13">
    <cfRule type="cellIs" dxfId="4" priority="10" operator="greaterThan">
      <formula>0</formula>
    </cfRule>
  </conditionalFormatting>
  <conditionalFormatting sqref="M13 O13:P13">
    <cfRule type="cellIs" dxfId="4" priority="11" operator="greaterThan">
      <formula>0</formula>
    </cfRule>
  </conditionalFormatting>
  <conditionalFormatting sqref="M14 O14:P14">
    <cfRule type="cellIs" dxfId="4" priority="12" operator="greaterThan">
      <formula>0</formula>
    </cfRule>
  </conditionalFormatting>
  <conditionalFormatting sqref="M10">
    <cfRule type="cellIs" dxfId="4" priority="13" operator="greaterThan">
      <formula>0</formula>
    </cfRule>
  </conditionalFormatting>
  <conditionalFormatting sqref="P10">
    <cfRule type="cellIs" dxfId="4" priority="14" operator="greaterThan">
      <formula>0</formula>
    </cfRule>
  </conditionalFormatting>
  <conditionalFormatting sqref="P10">
    <cfRule type="cellIs" dxfId="4" priority="15" operator="greaterThan">
      <formula>0</formula>
    </cfRule>
  </conditionalFormatting>
  <conditionalFormatting sqref="K11:K14">
    <cfRule type="cellIs" dxfId="4" priority="16" operator="greaterThan">
      <formula>0</formula>
    </cfRule>
  </conditionalFormatting>
  <conditionalFormatting sqref="O12:P12">
    <cfRule type="cellIs" dxfId="4" priority="17" operator="greaterThan">
      <formula>0</formula>
    </cfRule>
  </conditionalFormatting>
  <conditionalFormatting sqref="O13:P13">
    <cfRule type="cellIs" dxfId="4" priority="18" operator="greaterThan">
      <formula>0</formula>
    </cfRule>
  </conditionalFormatting>
  <conditionalFormatting sqref="O13:P13">
    <cfRule type="cellIs" dxfId="4" priority="19" operator="greaterThan">
      <formula>0</formula>
    </cfRule>
  </conditionalFormatting>
  <conditionalFormatting sqref="O13:P13">
    <cfRule type="cellIs" dxfId="4" priority="20" operator="greaterThan">
      <formula>0</formula>
    </cfRule>
  </conditionalFormatting>
  <conditionalFormatting sqref="P11">
    <cfRule type="cellIs" dxfId="4" priority="21" operator="greaterThan">
      <formula>0</formula>
    </cfRule>
  </conditionalFormatting>
  <conditionalFormatting sqref="P11">
    <cfRule type="cellIs" dxfId="4" priority="22" operator="greaterThan">
      <formula>0</formula>
    </cfRule>
  </conditionalFormatting>
  <conditionalFormatting sqref="P11">
    <cfRule type="cellIs" dxfId="4" priority="23" operator="greaterThan">
      <formula>0</formula>
    </cfRule>
  </conditionalFormatting>
  <conditionalFormatting sqref="M12">
    <cfRule type="cellIs" dxfId="4" priority="24" operator="greaterThan">
      <formula>0</formula>
    </cfRule>
  </conditionalFormatting>
  <conditionalFormatting sqref="M11">
    <cfRule type="cellIs" dxfId="4" priority="25" operator="greaterThan">
      <formula>0</formula>
    </cfRule>
  </conditionalFormatting>
  <conditionalFormatting sqref="M10">
    <cfRule type="cellIs" dxfId="4" priority="26" operator="greaterThan">
      <formula>0</formula>
    </cfRule>
  </conditionalFormatting>
  <conditionalFormatting sqref="M10">
    <cfRule type="cellIs" dxfId="4" priority="27" operator="greaterThan">
      <formula>0</formula>
    </cfRule>
  </conditionalFormatting>
  <conditionalFormatting sqref="M11 P11">
    <cfRule type="cellIs" dxfId="4" priority="28" operator="greaterThan">
      <formula>0</formula>
    </cfRule>
  </conditionalFormatting>
  <conditionalFormatting sqref="P11">
    <cfRule type="cellIs" dxfId="4" priority="29" operator="greaterThan">
      <formula>0</formula>
    </cfRule>
  </conditionalFormatting>
  <conditionalFormatting sqref="P11">
    <cfRule type="cellIs" dxfId="4" priority="30" operator="greaterThan">
      <formula>0</formula>
    </cfRule>
  </conditionalFormatting>
  <conditionalFormatting sqref="P11">
    <cfRule type="cellIs" dxfId="4" priority="31" operator="greaterThan">
      <formula>0</formula>
    </cfRule>
  </conditionalFormatting>
  <conditionalFormatting sqref="P11">
    <cfRule type="cellIs" dxfId="4" priority="32" operator="greaterThan">
      <formula>0</formula>
    </cfRule>
  </conditionalFormatting>
  <conditionalFormatting sqref="M10">
    <cfRule type="cellIs" dxfId="4" priority="33" operator="greaterThan">
      <formula>0</formula>
    </cfRule>
  </conditionalFormatting>
  <conditionalFormatting sqref="P9">
    <cfRule type="cellIs" dxfId="4" priority="34" operator="greaterThan">
      <formula>0</formula>
    </cfRule>
  </conditionalFormatting>
  <conditionalFormatting sqref="P9">
    <cfRule type="cellIs" dxfId="4" priority="35" operator="greaterThan">
      <formula>0</formula>
    </cfRule>
  </conditionalFormatting>
  <conditionalFormatting sqref="O9:P9">
    <cfRule type="cellIs" dxfId="4" priority="36" operator="greaterThan">
      <formula>0</formula>
    </cfRule>
  </conditionalFormatting>
  <conditionalFormatting sqref="O9:P9">
    <cfRule type="cellIs" dxfId="4" priority="37" operator="greaterThan">
      <formula>0</formula>
    </cfRule>
  </conditionalFormatting>
  <conditionalFormatting sqref="P10">
    <cfRule type="cellIs" dxfId="4" priority="38" operator="greaterThan">
      <formula>0</formula>
    </cfRule>
  </conditionalFormatting>
  <conditionalFormatting sqref="P10">
    <cfRule type="cellIs" dxfId="4" priority="39" operator="greaterThan">
      <formula>0</formula>
    </cfRule>
  </conditionalFormatting>
  <conditionalFormatting sqref="M10">
    <cfRule type="cellIs" dxfId="4" priority="40" operator="greaterThan">
      <formula>0</formula>
    </cfRule>
  </conditionalFormatting>
  <conditionalFormatting sqref="M10">
    <cfRule type="cellIs" dxfId="4" priority="41" operator="greaterThan">
      <formula>0</formula>
    </cfRule>
  </conditionalFormatting>
  <conditionalFormatting sqref="P10">
    <cfRule type="cellIs" dxfId="4" priority="42" operator="greaterThan">
      <formula>0</formula>
    </cfRule>
  </conditionalFormatting>
  <conditionalFormatting sqref="P10">
    <cfRule type="cellIs" dxfId="4" priority="43" operator="greaterThan">
      <formula>0</formula>
    </cfRule>
  </conditionalFormatting>
  <conditionalFormatting sqref="N10">
    <cfRule type="cellIs" dxfId="4" priority="44" operator="greaterThan">
      <formula>0</formula>
    </cfRule>
  </conditionalFormatting>
  <conditionalFormatting sqref="O10">
    <cfRule type="cellIs" dxfId="4" priority="45" operator="greaterThan">
      <formula>0</formula>
    </cfRule>
  </conditionalFormatting>
  <conditionalFormatting sqref="O10">
    <cfRule type="cellIs" dxfId="4" priority="46" operator="greaterThan">
      <formula>0</formula>
    </cfRule>
  </conditionalFormatting>
  <conditionalFormatting sqref="O10">
    <cfRule type="cellIs" dxfId="4" priority="47" operator="greaterThan">
      <formula>0</formula>
    </cfRule>
  </conditionalFormatting>
  <conditionalFormatting sqref="O10">
    <cfRule type="cellIs" dxfId="4" priority="48" operator="greaterThan">
      <formula>0</formula>
    </cfRule>
  </conditionalFormatting>
  <conditionalFormatting sqref="O10">
    <cfRule type="cellIs" dxfId="4" priority="49" operator="greaterThan">
      <formula>0</formula>
    </cfRule>
  </conditionalFormatting>
  <conditionalFormatting sqref="O10">
    <cfRule type="cellIs" dxfId="4" priority="50" operator="greaterThan">
      <formula>0</formula>
    </cfRule>
  </conditionalFormatting>
  <conditionalFormatting sqref="O10">
    <cfRule type="cellIs" dxfId="4" priority="51" operator="greaterThan">
      <formula>0</formula>
    </cfRule>
  </conditionalFormatting>
  <conditionalFormatting sqref="O10">
    <cfRule type="cellIs" dxfId="4" priority="52" operator="greaterThan">
      <formula>0</formula>
    </cfRule>
  </conditionalFormatting>
  <conditionalFormatting sqref="L10:L14">
    <cfRule type="cellIs" dxfId="4" priority="53" operator="greaterThan">
      <formula>0</formula>
    </cfRule>
  </conditionalFormatting>
  <conditionalFormatting sqref="D10:G11 D12:D13 E12:G12 H19:L25 I10:I12 O9:P9 Q7:Q14">
    <cfRule type="expression" dxfId="8" priority="54">
      <formula>#REF!=1</formula>
    </cfRule>
  </conditionalFormatting>
  <conditionalFormatting sqref="Q7:Q14">
    <cfRule type="expression" dxfId="8" priority="55">
      <formula>#REF!=1</formula>
    </cfRule>
  </conditionalFormatting>
  <conditionalFormatting sqref="T18">
    <cfRule type="expression" dxfId="8" priority="56">
      <formula>#REF!=1</formula>
    </cfRule>
  </conditionalFormatting>
  <conditionalFormatting sqref="T22">
    <cfRule type="expression" dxfId="8" priority="57">
      <formula>#REF!=1</formula>
    </cfRule>
  </conditionalFormatting>
  <conditionalFormatting sqref="M27">
    <cfRule type="expression" dxfId="8" priority="58">
      <formula>#REF!=1</formula>
    </cfRule>
  </conditionalFormatting>
  <conditionalFormatting sqref="S28:T35">
    <cfRule type="expression" dxfId="8" priority="59">
      <formula>#REF!=1</formula>
    </cfRule>
  </conditionalFormatting>
  <conditionalFormatting sqref="O28:R35">
    <cfRule type="expression" dxfId="8" priority="60">
      <formula>#REF!=1</formula>
    </cfRule>
  </conditionalFormatting>
  <conditionalFormatting sqref="H28:H35 J33:K35 K28:K32">
    <cfRule type="expression" dxfId="8" priority="61">
      <formula>#REF!=1</formula>
    </cfRule>
  </conditionalFormatting>
  <conditionalFormatting sqref="I33:I35">
    <cfRule type="expression" dxfId="8" priority="62">
      <formula>#REF!=1</formula>
    </cfRule>
  </conditionalFormatting>
  <conditionalFormatting sqref="N23:N25">
    <cfRule type="expression" dxfId="8" priority="63">
      <formula>#REF!=1</formula>
    </cfRule>
  </conditionalFormatting>
  <conditionalFormatting sqref="M10 N8:P9 N11:O11 P10">
    <cfRule type="expression" dxfId="8" priority="64">
      <formula>#REF!=1</formula>
    </cfRule>
  </conditionalFormatting>
  <conditionalFormatting sqref="D14:G14 E13:G13 I13:I14 M11 M12:P14 N7:P7 P11">
    <cfRule type="expression" dxfId="8" priority="65">
      <formula>#REF!=1</formula>
    </cfRule>
  </conditionalFormatting>
  <conditionalFormatting sqref="O11 P10">
    <cfRule type="expression" dxfId="8" priority="66">
      <formula>#REF!=1</formula>
    </cfRule>
  </conditionalFormatting>
  <conditionalFormatting sqref="O11 P10">
    <cfRule type="expression" dxfId="8" priority="67">
      <formula>#REF!=1</formula>
    </cfRule>
  </conditionalFormatting>
  <conditionalFormatting sqref="O8:P8">
    <cfRule type="expression" dxfId="8" priority="68">
      <formula>#REF!=1</formula>
    </cfRule>
  </conditionalFormatting>
  <conditionalFormatting sqref="M11 P11">
    <cfRule type="expression" dxfId="8" priority="69">
      <formula>#REF!=1</formula>
    </cfRule>
  </conditionalFormatting>
  <conditionalFormatting sqref="M14 O14:P14">
    <cfRule type="expression" dxfId="8" priority="70">
      <formula>#REF!=1</formula>
    </cfRule>
  </conditionalFormatting>
  <conditionalFormatting sqref="M12 O12:P12">
    <cfRule type="expression" dxfId="8" priority="71">
      <formula>#REF!=1</formula>
    </cfRule>
  </conditionalFormatting>
  <conditionalFormatting sqref="M12 O12:P12">
    <cfRule type="expression" dxfId="8" priority="72">
      <formula>#REF!=1</formula>
    </cfRule>
  </conditionalFormatting>
  <conditionalFormatting sqref="M13 O11 O13:P13 P10">
    <cfRule type="expression" dxfId="8" priority="73">
      <formula>#REF!=1</formula>
    </cfRule>
  </conditionalFormatting>
  <conditionalFormatting sqref="M12 O12:P12">
    <cfRule type="expression" dxfId="8" priority="74">
      <formula>#REF!=1</formula>
    </cfRule>
  </conditionalFormatting>
  <conditionalFormatting sqref="M13 O13:P13">
    <cfRule type="expression" dxfId="8" priority="75">
      <formula>#REF!=1</formula>
    </cfRule>
  </conditionalFormatting>
  <conditionalFormatting sqref="M13 O13:P13">
    <cfRule type="expression" dxfId="8" priority="76">
      <formula>#REF!=1</formula>
    </cfRule>
  </conditionalFormatting>
  <conditionalFormatting sqref="M14 O14:P14">
    <cfRule type="expression" dxfId="8" priority="77">
      <formula>#REF!=1</formula>
    </cfRule>
  </conditionalFormatting>
  <conditionalFormatting sqref="O9:P9">
    <cfRule type="expression" dxfId="8" priority="78">
      <formula>#REF!=1</formula>
    </cfRule>
  </conditionalFormatting>
  <conditionalFormatting sqref="M10">
    <cfRule type="expression" dxfId="8" priority="79">
      <formula>#REF!=1</formula>
    </cfRule>
  </conditionalFormatting>
  <conditionalFormatting sqref="P10">
    <cfRule type="expression" dxfId="8" priority="80">
      <formula>#REF!=1</formula>
    </cfRule>
  </conditionalFormatting>
  <conditionalFormatting sqref="P10">
    <cfRule type="expression" dxfId="8" priority="81">
      <formula>#REF!=1</formula>
    </cfRule>
  </conditionalFormatting>
  <conditionalFormatting sqref="K11:K14">
    <cfRule type="expression" dxfId="8" priority="82">
      <formula>#REF!=1</formula>
    </cfRule>
  </conditionalFormatting>
  <conditionalFormatting sqref="O12:P12">
    <cfRule type="expression" dxfId="8" priority="83">
      <formula>#REF!=1</formula>
    </cfRule>
  </conditionalFormatting>
  <conditionalFormatting sqref="O13:P13">
    <cfRule type="expression" dxfId="8" priority="84">
      <formula>#REF!=1</formula>
    </cfRule>
  </conditionalFormatting>
  <conditionalFormatting sqref="O13:P13">
    <cfRule type="expression" dxfId="8" priority="85">
      <formula>#REF!=1</formula>
    </cfRule>
  </conditionalFormatting>
  <conditionalFormatting sqref="O13:P13">
    <cfRule type="expression" dxfId="8" priority="86">
      <formula>#REF!=1</formula>
    </cfRule>
  </conditionalFormatting>
  <conditionalFormatting sqref="P11">
    <cfRule type="expression" dxfId="8" priority="87">
      <formula>#REF!=1</formula>
    </cfRule>
  </conditionalFormatting>
  <conditionalFormatting sqref="P11">
    <cfRule type="expression" dxfId="8" priority="88">
      <formula>#REF!=1</formula>
    </cfRule>
  </conditionalFormatting>
  <conditionalFormatting sqref="P11">
    <cfRule type="expression" dxfId="8" priority="89">
      <formula>#REF!=1</formula>
    </cfRule>
  </conditionalFormatting>
  <conditionalFormatting sqref="M12">
    <cfRule type="expression" dxfId="8" priority="90">
      <formula>#REF!=1</formula>
    </cfRule>
  </conditionalFormatting>
  <conditionalFormatting sqref="M11">
    <cfRule type="expression" dxfId="8" priority="91">
      <formula>#REF!=1</formula>
    </cfRule>
  </conditionalFormatting>
  <conditionalFormatting sqref="M10">
    <cfRule type="expression" dxfId="8" priority="92">
      <formula>#REF!=1</formula>
    </cfRule>
  </conditionalFormatting>
  <conditionalFormatting sqref="M10">
    <cfRule type="expression" dxfId="8" priority="93">
      <formula>#REF!=1</formula>
    </cfRule>
  </conditionalFormatting>
  <conditionalFormatting sqref="M11 P11">
    <cfRule type="expression" dxfId="8" priority="94">
      <formula>#REF!=1</formula>
    </cfRule>
  </conditionalFormatting>
  <conditionalFormatting sqref="P11">
    <cfRule type="expression" dxfId="8" priority="95">
      <formula>#REF!=1</formula>
    </cfRule>
  </conditionalFormatting>
  <conditionalFormatting sqref="P11">
    <cfRule type="expression" dxfId="8" priority="96">
      <formula>#REF!=1</formula>
    </cfRule>
  </conditionalFormatting>
  <conditionalFormatting sqref="P11">
    <cfRule type="expression" dxfId="8" priority="97">
      <formula>#REF!=1</formula>
    </cfRule>
  </conditionalFormatting>
  <conditionalFormatting sqref="P11">
    <cfRule type="expression" dxfId="8" priority="98">
      <formula>#REF!=1</formula>
    </cfRule>
  </conditionalFormatting>
  <conditionalFormatting sqref="M10">
    <cfRule type="expression" dxfId="8" priority="99">
      <formula>#REF!=1</formula>
    </cfRule>
  </conditionalFormatting>
  <conditionalFormatting sqref="O9:P9">
    <cfRule type="expression" dxfId="8" priority="100">
      <formula>#REF!=1</formula>
    </cfRule>
  </conditionalFormatting>
  <conditionalFormatting sqref="P9">
    <cfRule type="expression" dxfId="8" priority="101">
      <formula>#REF!=1</formula>
    </cfRule>
  </conditionalFormatting>
  <conditionalFormatting sqref="P9">
    <cfRule type="expression" dxfId="8" priority="102">
      <formula>#REF!=1</formula>
    </cfRule>
  </conditionalFormatting>
  <conditionalFormatting sqref="O9:P9">
    <cfRule type="expression" dxfId="8" priority="103">
      <formula>#REF!=1</formula>
    </cfRule>
  </conditionalFormatting>
  <conditionalFormatting sqref="O9:P9">
    <cfRule type="expression" dxfId="8" priority="104">
      <formula>#REF!=1</formula>
    </cfRule>
  </conditionalFormatting>
  <conditionalFormatting sqref="P10">
    <cfRule type="expression" dxfId="8" priority="105">
      <formula>#REF!=1</formula>
    </cfRule>
  </conditionalFormatting>
  <conditionalFormatting sqref="P10">
    <cfRule type="expression" dxfId="8" priority="106">
      <formula>#REF!=1</formula>
    </cfRule>
  </conditionalFormatting>
  <conditionalFormatting sqref="M10">
    <cfRule type="expression" dxfId="8" priority="107">
      <formula>#REF!=1</formula>
    </cfRule>
  </conditionalFormatting>
  <conditionalFormatting sqref="M10">
    <cfRule type="expression" dxfId="8" priority="108">
      <formula>#REF!=1</formula>
    </cfRule>
  </conditionalFormatting>
  <conditionalFormatting sqref="P10">
    <cfRule type="expression" dxfId="8" priority="109">
      <formula>#REF!=1</formula>
    </cfRule>
  </conditionalFormatting>
  <conditionalFormatting sqref="P10">
    <cfRule type="expression" dxfId="8" priority="110">
      <formula>#REF!=1</formula>
    </cfRule>
  </conditionalFormatting>
  <conditionalFormatting sqref="N10">
    <cfRule type="expression" dxfId="8" priority="111">
      <formula>#REF!=1</formula>
    </cfRule>
  </conditionalFormatting>
  <conditionalFormatting sqref="O10">
    <cfRule type="expression" dxfId="8" priority="112">
      <formula>#REF!=1</formula>
    </cfRule>
  </conditionalFormatting>
  <conditionalFormatting sqref="O10">
    <cfRule type="expression" dxfId="8" priority="113">
      <formula>#REF!=1</formula>
    </cfRule>
  </conditionalFormatting>
  <conditionalFormatting sqref="O10">
    <cfRule type="expression" dxfId="8" priority="114">
      <formula>#REF!=1</formula>
    </cfRule>
  </conditionalFormatting>
  <conditionalFormatting sqref="O10">
    <cfRule type="expression" dxfId="8" priority="115">
      <formula>#REF!=1</formula>
    </cfRule>
  </conditionalFormatting>
  <conditionalFormatting sqref="O10">
    <cfRule type="expression" dxfId="8" priority="116">
      <formula>#REF!=1</formula>
    </cfRule>
  </conditionalFormatting>
  <conditionalFormatting sqref="O10">
    <cfRule type="expression" dxfId="8" priority="117">
      <formula>#REF!=1</formula>
    </cfRule>
  </conditionalFormatting>
  <conditionalFormatting sqref="O10">
    <cfRule type="expression" dxfId="8" priority="118">
      <formula>#REF!=1</formula>
    </cfRule>
  </conditionalFormatting>
  <conditionalFormatting sqref="O10">
    <cfRule type="expression" dxfId="8" priority="119">
      <formula>#REF!=1</formula>
    </cfRule>
  </conditionalFormatting>
  <conditionalFormatting sqref="L10:L14">
    <cfRule type="expression" dxfId="8" priority="120">
      <formula>#REF!=1</formula>
    </cfRule>
  </conditionalFormatting>
  <conditionalFormatting sqref="I28 J28:J32">
    <cfRule type="expression" dxfId="8" priority="121">
      <formula>#REF!=1</formula>
    </cfRule>
  </conditionalFormatting>
  <conditionalFormatting sqref="I29:I32">
    <cfRule type="expression" dxfId="8" priority="122">
      <formula>#REF!=1</formula>
    </cfRule>
  </conditionalFormatting>
  <conditionalFormatting sqref="J10:J14">
    <cfRule type="cellIs" dxfId="4" priority="123" operator="greaterThan">
      <formula>0</formula>
    </cfRule>
  </conditionalFormatting>
  <conditionalFormatting sqref="J10:J14">
    <cfRule type="expression" dxfId="8" priority="124">
      <formula>#REF!=1</formula>
    </cfRule>
  </conditionalFormatting>
  <conditionalFormatting sqref="K10">
    <cfRule type="cellIs" dxfId="4" priority="125" operator="greaterThan">
      <formula>0</formula>
    </cfRule>
  </conditionalFormatting>
  <conditionalFormatting sqref="K10">
    <cfRule type="expression" dxfId="8" priority="126">
      <formula>#REF!=1</formula>
    </cfRule>
  </conditionalFormatting>
  <conditionalFormatting sqref="M19:M25">
    <cfRule type="expression" dxfId="8" priority="127">
      <formula>#REF!=1</formula>
    </cfRule>
  </conditionalFormatting>
  <conditionalFormatting sqref="H10:H14">
    <cfRule type="cellIs" dxfId="4" priority="128" operator="greaterThan">
      <formula>0</formula>
    </cfRule>
  </conditionalFormatting>
  <conditionalFormatting sqref="H10:H12">
    <cfRule type="expression" dxfId="8" priority="129">
      <formula>#REF!=1</formula>
    </cfRule>
  </conditionalFormatting>
  <conditionalFormatting sqref="H13:H14">
    <cfRule type="expression" dxfId="8" priority="130">
      <formula>#REF!=1</formula>
    </cfRule>
  </conditionalFormatting>
  <conditionalFormatting sqref="E27">
    <cfRule type="expression" dxfId="8" priority="131">
      <formula>#REF!=1</formula>
    </cfRule>
  </conditionalFormatting>
  <conditionalFormatting sqref="E31">
    <cfRule type="expression" dxfId="8" priority="132">
      <formula>#REF!=1</formula>
    </cfRule>
  </conditionalFormatting>
  <conditionalFormatting sqref="D7:G9 I7:J7 I8:I9 M7:M9">
    <cfRule type="cellIs" dxfId="4" priority="133" operator="greaterThan">
      <formula>0</formula>
    </cfRule>
  </conditionalFormatting>
  <conditionalFormatting sqref="M8">
    <cfRule type="cellIs" dxfId="4" priority="134" operator="greaterThan">
      <formula>0</formula>
    </cfRule>
  </conditionalFormatting>
  <conditionalFormatting sqref="M9">
    <cfRule type="cellIs" dxfId="4" priority="135" operator="greaterThan">
      <formula>0</formula>
    </cfRule>
  </conditionalFormatting>
  <conditionalFormatting sqref="M9">
    <cfRule type="cellIs" dxfId="4" priority="136" operator="greaterThan">
      <formula>0</formula>
    </cfRule>
  </conditionalFormatting>
  <conditionalFormatting sqref="K9">
    <cfRule type="cellIs" dxfId="4" priority="137" operator="greaterThan">
      <formula>0</formula>
    </cfRule>
  </conditionalFormatting>
  <conditionalFormatting sqref="M9">
    <cfRule type="cellIs" dxfId="4" priority="138" operator="greaterThan">
      <formula>0</formula>
    </cfRule>
  </conditionalFormatting>
  <conditionalFormatting sqref="M9">
    <cfRule type="cellIs" dxfId="4" priority="139" operator="greaterThan">
      <formula>0</formula>
    </cfRule>
  </conditionalFormatting>
  <conditionalFormatting sqref="M9">
    <cfRule type="cellIs" dxfId="4" priority="140" operator="greaterThan">
      <formula>0</formula>
    </cfRule>
  </conditionalFormatting>
  <conditionalFormatting sqref="K7">
    <cfRule type="cellIs" dxfId="4" priority="141" operator="greaterThan">
      <formula>0</formula>
    </cfRule>
  </conditionalFormatting>
  <conditionalFormatting sqref="K8">
    <cfRule type="cellIs" dxfId="4" priority="142" operator="greaterThan">
      <formula>0</formula>
    </cfRule>
  </conditionalFormatting>
  <conditionalFormatting sqref="L9">
    <cfRule type="cellIs" dxfId="4" priority="143" operator="greaterThan">
      <formula>0</formula>
    </cfRule>
  </conditionalFormatting>
  <conditionalFormatting sqref="L7">
    <cfRule type="cellIs" dxfId="4" priority="144" operator="greaterThan">
      <formula>0</formula>
    </cfRule>
  </conditionalFormatting>
  <conditionalFormatting sqref="L8">
    <cfRule type="cellIs" dxfId="4" priority="145" operator="greaterThan">
      <formula>0</formula>
    </cfRule>
  </conditionalFormatting>
  <conditionalFormatting sqref="D8:G9 I8:I9">
    <cfRule type="expression" dxfId="8" priority="146">
      <formula>#REF!=1</formula>
    </cfRule>
  </conditionalFormatting>
  <conditionalFormatting sqref="M8:M9">
    <cfRule type="expression" dxfId="8" priority="147">
      <formula>#REF!=1</formula>
    </cfRule>
  </conditionalFormatting>
  <conditionalFormatting sqref="D7:G7 I7:J7 M7">
    <cfRule type="expression" dxfId="8" priority="148">
      <formula>#REF!=1</formula>
    </cfRule>
  </conditionalFormatting>
  <conditionalFormatting sqref="M8">
    <cfRule type="expression" dxfId="8" priority="149">
      <formula>#REF!=1</formula>
    </cfRule>
  </conditionalFormatting>
  <conditionalFormatting sqref="M9">
    <cfRule type="expression" dxfId="8" priority="150">
      <formula>#REF!=1</formula>
    </cfRule>
  </conditionalFormatting>
  <conditionalFormatting sqref="M9">
    <cfRule type="expression" dxfId="8" priority="151">
      <formula>#REF!=1</formula>
    </cfRule>
  </conditionalFormatting>
  <conditionalFormatting sqref="K9">
    <cfRule type="expression" dxfId="8" priority="152">
      <formula>#REF!=1</formula>
    </cfRule>
  </conditionalFormatting>
  <conditionalFormatting sqref="M9">
    <cfRule type="expression" dxfId="8" priority="153">
      <formula>#REF!=1</formula>
    </cfRule>
  </conditionalFormatting>
  <conditionalFormatting sqref="M9">
    <cfRule type="expression" dxfId="8" priority="154">
      <formula>#REF!=1</formula>
    </cfRule>
  </conditionalFormatting>
  <conditionalFormatting sqref="M9">
    <cfRule type="expression" dxfId="8" priority="155">
      <formula>#REF!=1</formula>
    </cfRule>
  </conditionalFormatting>
  <conditionalFormatting sqref="K7">
    <cfRule type="expression" dxfId="8" priority="156">
      <formula>#REF!=1</formula>
    </cfRule>
  </conditionalFormatting>
  <conditionalFormatting sqref="K8">
    <cfRule type="expression" dxfId="8" priority="157">
      <formula>#REF!=1</formula>
    </cfRule>
  </conditionalFormatting>
  <conditionalFormatting sqref="L9">
    <cfRule type="expression" dxfId="8" priority="158">
      <formula>#REF!=1</formula>
    </cfRule>
  </conditionalFormatting>
  <conditionalFormatting sqref="L7">
    <cfRule type="expression" dxfId="8" priority="159">
      <formula>#REF!=1</formula>
    </cfRule>
  </conditionalFormatting>
  <conditionalFormatting sqref="L8">
    <cfRule type="expression" dxfId="8" priority="160">
      <formula>#REF!=1</formula>
    </cfRule>
  </conditionalFormatting>
  <conditionalFormatting sqref="J9">
    <cfRule type="cellIs" dxfId="4" priority="161" operator="greaterThan">
      <formula>0</formula>
    </cfRule>
  </conditionalFormatting>
  <conditionalFormatting sqref="J8">
    <cfRule type="cellIs" dxfId="4" priority="162" operator="greaterThan">
      <formula>0</formula>
    </cfRule>
  </conditionalFormatting>
  <conditionalFormatting sqref="J9">
    <cfRule type="expression" dxfId="8" priority="163">
      <formula>#REF!=1</formula>
    </cfRule>
  </conditionalFormatting>
  <conditionalFormatting sqref="J8">
    <cfRule type="expression" dxfId="8" priority="164">
      <formula>#REF!=1</formula>
    </cfRule>
  </conditionalFormatting>
  <conditionalFormatting sqref="H7:H9">
    <cfRule type="cellIs" dxfId="4" priority="165" operator="greaterThan">
      <formula>0</formula>
    </cfRule>
  </conditionalFormatting>
  <conditionalFormatting sqref="H8:H9">
    <cfRule type="expression" dxfId="8" priority="166">
      <formula>#REF!=1</formula>
    </cfRule>
  </conditionalFormatting>
  <conditionalFormatting sqref="H7">
    <cfRule type="expression" dxfId="8" priority="167">
      <formula>#REF!=1</formula>
    </cfRule>
  </conditionalFormatting>
  <dataValidations>
    <dataValidation type="decimal" operator="greaterThanOrEqual" allowBlank="1" showInputMessage="1" showErrorMessage="1" prompt="wrong data - Invaid Entry" sqref="E8:E14">
      <formula1>MAX($E$7:E7,$E$5)</formula1>
    </dataValidation>
    <dataValidation type="decimal" operator="greaterThanOrEqual" allowBlank="1" showInputMessage="1" showErrorMessage="1" prompt="wrong data - Invaid Entry" sqref="M11 M14">
      <formula1>MAX($M$7:M9,$M$5)</formula1>
    </dataValidation>
    <dataValidation type="decimal" operator="greaterThanOrEqual" allowBlank="1" showInputMessage="1" showErrorMessage="1" prompt="wrong data - Invaid Entry" sqref="L8:L14">
      <formula1>MAX($K$7:L7)</formula1>
    </dataValidation>
    <dataValidation type="custom" allowBlank="1" showInputMessage="1" showErrorMessage="1" prompt="HELLO USER - PUT VALUE OF &quot;S/L FINES&quot; OR &quot;D/L FINES&quot;" sqref="U11">
      <formula1>U12=0</formula1>
    </dataValidation>
    <dataValidation type="decimal" operator="greaterThanOrEqual" allowBlank="1" showInputMessage="1" showErrorMessage="1" prompt="wrong data - Invalid Entry" sqref="D7:I7 M7:P7 X7 Z7 AB7:AE7">
      <formula1>D5</formula1>
    </dataValidation>
    <dataValidation type="decimal" operator="greaterThanOrEqual" allowBlank="1" showInputMessage="1" showErrorMessage="1" prompt="wrong data - Invaid Entry" sqref="F8:F14">
      <formula1>MAX($F$7:F7,$F$5)</formula1>
    </dataValidation>
    <dataValidation type="custom" allowBlank="1" showInputMessage="1" showErrorMessage="1" prompt="HELLO USER - PUT VALUE OF &quot;S/L FINES&quot; OR &quot;D/L FINES&quot;" sqref="U12">
      <formula1>U11=0</formula1>
    </dataValidation>
    <dataValidation type="decimal" operator="greaterThanOrEqual" allowBlank="1" showInputMessage="1" showErrorMessage="1" prompt="wrong data - Invaid Entry" sqref="N8:N9 N12:N14 AC8:AC14">
      <formula1>MAX($N$7:N7,$N$5)</formula1>
    </dataValidation>
    <dataValidation type="list" allowBlank="1" showInputMessage="1" showErrorMessage="1" prompt="Please mention SLIME %" sqref="Q7:Q14">
      <formula1>"0%,2%,4%,6%,8%,10%"</formula1>
    </dataValidation>
    <dataValidation type="decimal" operator="greaterThanOrEqual" allowBlank="1" showInputMessage="1" showErrorMessage="1" prompt="wrong data - Invaid Entry" sqref="M8:M9 M12:M13 AB8:AB14">
      <formula1>MAX($M$7:M7,$M$5)</formula1>
    </dataValidation>
    <dataValidation type="decimal" operator="greaterThanOrEqual" allowBlank="1" showInputMessage="1" showErrorMessage="1" prompt="PLEASE INTER VALUE" sqref="U14:U15 S17">
      <formula1>0.0</formula1>
    </dataValidation>
    <dataValidation type="decimal" operator="greaterThanOrEqual" allowBlank="1" showInputMessage="1" showErrorMessage="1" prompt="wrong data - Invaid Entry" sqref="G8:G14">
      <formula1>MAX($G$7:G7,$G$5)</formula1>
    </dataValidation>
    <dataValidation type="decimal" operator="greaterThanOrEqual" allowBlank="1" showInputMessage="1" showErrorMessage="1" prompt="wrong data - Invaid Entry" sqref="P8:P14 AD8:AE14">
      <formula1>MAX($P$7:P7,$P$5)</formula1>
    </dataValidation>
    <dataValidation type="decimal" operator="greaterThanOrEqual" allowBlank="1" showInputMessage="1" showErrorMessage="1" prompt="wrong data - Invaid Entry" sqref="K8:K14 Z8:Z14">
      <formula1>MAX($K$7:L7,$K$5)</formula1>
    </dataValidation>
    <dataValidation type="custom" allowBlank="1" showInputMessage="1" showErrorMessage="1" prompt="HELLO USER - PUT VALUE OF &quot;S/L CLO&quot; OR &quot;D/L CLO&quot;" sqref="U8">
      <formula1>U7=0</formula1>
    </dataValidation>
    <dataValidation type="custom" allowBlank="1" showInputMessage="1" showErrorMessage="1" prompt="HELLO USE - PUT VALUE OF &quot;S/L LUMP&quot; OR &quot;D/L LUMP&quot;" sqref="U10">
      <formula1>U9=0</formula1>
    </dataValidation>
    <dataValidation type="decimal" operator="greaterThanOrEqual" allowBlank="1" showInputMessage="1" showErrorMessage="1" prompt="wrong data - Invaid Entry" sqref="O11">
      <formula1>MAX($O$7:O9,$O$5)</formula1>
    </dataValidation>
    <dataValidation type="decimal" operator="greaterThanOrEqual" allowBlank="1" showInputMessage="1" showErrorMessage="1" prompt="wrong data - Invaid Entry" sqref="H8:H14">
      <formula1>MAX($H$7:H7,$H$5)</formula1>
    </dataValidation>
    <dataValidation type="decimal" operator="greaterThanOrEqual" allowBlank="1" showInputMessage="1" showErrorMessage="1" prompt="wrong data - Invaid Entry" sqref="X8:X14">
      <formula1>MAX($I$7:Y7,$I$12)</formula1>
    </dataValidation>
    <dataValidation type="decimal" operator="greaterThanOrEqual" allowBlank="1" showInputMessage="1" showErrorMessage="1" prompt="wrong data - Invaid Entry" sqref="I8:I14">
      <formula1>MAX($I$7:J7,$I$5)</formula1>
    </dataValidation>
    <dataValidation type="decimal" operator="greaterThanOrEqual" allowBlank="1" showInputMessage="1" showErrorMessage="1" prompt="wrong data - Invaid Entry" sqref="D13">
      <formula1>MAX($D$7:D11,$D$5)</formula1>
    </dataValidation>
    <dataValidation type="decimal" operator="greaterThanOrEqual" allowBlank="1" showErrorMessage="1" sqref="K7">
      <formula1>K5</formula1>
    </dataValidation>
    <dataValidation type="decimal" operator="greaterThanOrEqual" allowBlank="1" showInputMessage="1" showErrorMessage="1" prompt="wrong data - Invalid Entry" sqref="J7 Y7 AA7">
      <formula1>I5</formula1>
    </dataValidation>
    <dataValidation type="custom" allowBlank="1" showInputMessage="1" showErrorMessage="1" prompt="HELLO USER  - PUT VALUE OF &quot;S/L CLO&quot; OR &quot;D/L CLO&quot;" sqref="U7">
      <formula1>(U8=0)</formula1>
    </dataValidation>
    <dataValidation type="decimal" operator="greaterThanOrEqual" allowBlank="1" showErrorMessage="1" sqref="L7">
      <formula1>K5</formula1>
    </dataValidation>
    <dataValidation type="decimal" operator="greaterThanOrEqual" allowBlank="1" showInputMessage="1" showErrorMessage="1" prompt="wrong data - Invaid Entry" sqref="AA8:AA14">
      <formula1>MAX($L$7:Z7)</formula1>
    </dataValidation>
    <dataValidation type="decimal" operator="greaterThanOrEqual" allowBlank="1" showInputMessage="1" showErrorMessage="1" prompt="wrong data - Invaid Entry" sqref="N11">
      <formula1>MAX($N$7:N9,$N$5)</formula1>
    </dataValidation>
    <dataValidation type="decimal" operator="greaterThanOrEqual" allowBlank="1" showInputMessage="1" showErrorMessage="1" prompt="wrong data - Invaid Entry" sqref="O8:O9 O12:O14">
      <formula1>MAX($O$7:O7,$O$5)</formula1>
    </dataValidation>
    <dataValidation type="list" allowBlank="1" showErrorMessage="1" sqref="S3:T3">
      <formula1>"1st,2nd,3rd"</formula1>
    </dataValidation>
    <dataValidation type="custom" allowBlank="1" showInputMessage="1" showErrorMessage="1" prompt="HELLO USER - PUT VALUE OF &quot;S/L LUMP&quot; OR &quot;D/L LUMP&quot;" sqref="U9">
      <formula1>U10=0</formula1>
    </dataValidation>
    <dataValidation type="decimal" operator="greaterThanOrEqual" allowBlank="1" showInputMessage="1" showErrorMessage="1" prompt="wrong data - Invaid Entry" sqref="D8:D12 D14">
      <formula1>MAX($D$7:D7,$D$5)</formula1>
    </dataValidation>
    <dataValidation type="decimal" operator="greaterThanOrEqual" allowBlank="1" showInputMessage="1" showErrorMessage="1" prompt="wrong data - Invaid Entry" sqref="J8:J14">
      <formula1>MAX($I$7:J7)</formula1>
    </dataValidation>
    <dataValidation type="decimal" operator="greaterThanOrEqual" allowBlank="1" showInputMessage="1" showErrorMessage="1" prompt="wrong data - Invaid Entry" sqref="Y8:Y14">
      <formula1>MAX($J$7:X7)</formula1>
    </dataValidation>
  </dataValidations>
  <printOptions/>
  <pageMargins bottom="0.75" footer="0.0" header="0.0" left="0.7" right="0.7" top="0.75"/>
  <pageSetup paperSize="9" orientation="portrait"/>
  <rowBreaks count="1" manualBreakCount="1">
    <brk id="5" man="1"/>
  </rowBreaks>
  <colBreaks count="1" manualBreakCount="1">
    <brk id="43" man="1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workbookViewId="0"/>
  </sheetViews>
  <sheetFormatPr customHeight="1" defaultColWidth="12.63" defaultRowHeight="15.0"/>
  <cols>
    <col customWidth="1" min="1" max="1" width="8.13"/>
    <col customWidth="1" min="2" max="2" width="7.5"/>
    <col customWidth="1" min="3" max="3" width="2.75"/>
    <col customWidth="1" min="4" max="4" width="3.88"/>
    <col customWidth="1" min="5" max="5" width="2.75"/>
    <col customWidth="1" min="6" max="6" width="3.88"/>
    <col customWidth="1" min="7" max="7" width="13.13"/>
    <col customWidth="1" min="8" max="8" width="2.75"/>
    <col customWidth="1" min="9" max="9" width="3.88"/>
    <col customWidth="1" min="10" max="10" width="15.25"/>
    <col customWidth="1" min="11" max="11" width="2.75"/>
    <col customWidth="1" min="12" max="12" width="3.88"/>
    <col customWidth="1" min="13" max="13" width="14.63"/>
    <col customWidth="1" min="14" max="14" width="2.75"/>
    <col customWidth="1" min="15" max="15" width="3.88"/>
    <col customWidth="1" min="16" max="16" width="15.75"/>
    <col customWidth="1" hidden="1" min="17" max="17" width="7.75"/>
    <col customWidth="1" min="18" max="18" width="2.75"/>
    <col customWidth="1" min="19" max="19" width="28.5"/>
    <col customWidth="1" min="20" max="20" width="10.5"/>
    <col customWidth="1" min="21" max="21" width="13.38"/>
    <col customWidth="1" min="22" max="22" width="9.0"/>
    <col customWidth="1" min="23" max="26" width="8.63"/>
  </cols>
  <sheetData>
    <row r="1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47" t="s">
        <v>317</v>
      </c>
      <c r="U1" s="613" t="s">
        <v>318</v>
      </c>
      <c r="V1" s="47" t="s">
        <v>319</v>
      </c>
      <c r="W1" s="26"/>
      <c r="X1" s="26"/>
      <c r="Y1" s="26"/>
      <c r="Z1" s="26"/>
    </row>
    <row r="2" ht="14.25" customHeight="1">
      <c r="A2" s="26"/>
      <c r="B2" s="614" t="s">
        <v>320</v>
      </c>
      <c r="K2" s="615"/>
      <c r="L2" s="615"/>
      <c r="M2" s="615"/>
      <c r="N2" s="26"/>
      <c r="O2" s="26"/>
      <c r="P2" s="26"/>
      <c r="Q2" s="26"/>
      <c r="R2" s="26"/>
      <c r="S2" s="26"/>
      <c r="T2" s="54" t="s">
        <v>321</v>
      </c>
      <c r="U2" s="616" t="s">
        <v>322</v>
      </c>
      <c r="V2" s="54" t="s">
        <v>323</v>
      </c>
      <c r="W2" s="26"/>
      <c r="X2" s="26"/>
      <c r="Y2" s="26"/>
      <c r="Z2" s="26"/>
    </row>
    <row r="3" ht="14.25" customHeight="1">
      <c r="A3" s="26"/>
      <c r="K3" s="615"/>
      <c r="L3" s="615"/>
      <c r="M3" s="615"/>
      <c r="N3" s="26"/>
      <c r="O3" s="26"/>
      <c r="P3" s="26"/>
      <c r="Q3" s="26"/>
      <c r="R3" s="26"/>
      <c r="S3" s="26"/>
      <c r="T3" s="54" t="s">
        <v>324</v>
      </c>
      <c r="U3" s="616" t="s">
        <v>325</v>
      </c>
      <c r="V3" s="54" t="s">
        <v>323</v>
      </c>
      <c r="W3" s="26"/>
      <c r="X3" s="26"/>
      <c r="Y3" s="26"/>
      <c r="Z3" s="26"/>
    </row>
    <row r="4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617" t="str">
        <f>CONCATENATE("SP5, Production Report Dt.",TEXT(A5,"dd/mm/yy"))</f>
        <v>SP5, Production Report Dt.28/03/26</v>
      </c>
      <c r="T4" s="54" t="s">
        <v>326</v>
      </c>
      <c r="U4" s="616" t="s">
        <v>327</v>
      </c>
      <c r="V4" s="54" t="s">
        <v>323</v>
      </c>
      <c r="W4" s="26"/>
      <c r="X4" s="26"/>
      <c r="Y4" s="26"/>
      <c r="Z4" s="26"/>
    </row>
    <row r="5">
      <c r="A5" s="618">
        <f>IF(AND(DAILY!$T$3="3rd",DAILY!$T$4=TODAY()),DAILY!T4,IF(AND(DAILY!$T$3="3rd",DAILY!$T$4&lt;TODAY()),DAILY!T4,DAILY!M27))</f>
        <v>46109</v>
      </c>
      <c r="B5" s="308"/>
      <c r="C5" s="619" t="s">
        <v>2</v>
      </c>
      <c r="D5" s="3"/>
      <c r="E5" s="3"/>
      <c r="F5" s="308"/>
      <c r="G5" s="620" t="s">
        <v>3</v>
      </c>
      <c r="H5" s="619" t="s">
        <v>4</v>
      </c>
      <c r="I5" s="3"/>
      <c r="J5" s="308"/>
      <c r="K5" s="621" t="s">
        <v>6</v>
      </c>
      <c r="L5" s="3"/>
      <c r="M5" s="308"/>
      <c r="N5" s="621" t="s">
        <v>296</v>
      </c>
      <c r="O5" s="3"/>
      <c r="P5" s="4"/>
      <c r="Q5" s="26"/>
      <c r="R5" s="26"/>
      <c r="S5" s="622" t="s">
        <v>328</v>
      </c>
      <c r="T5" s="54" t="s">
        <v>329</v>
      </c>
      <c r="U5" s="616" t="s">
        <v>330</v>
      </c>
      <c r="V5" s="54" t="s">
        <v>331</v>
      </c>
      <c r="W5" s="26"/>
      <c r="X5" s="26"/>
      <c r="Y5" s="26"/>
      <c r="Z5" s="26"/>
    </row>
    <row r="6">
      <c r="A6" s="623" t="s">
        <v>5</v>
      </c>
      <c r="B6" s="12"/>
      <c r="C6" s="624">
        <f>IF(AND(DAILY!$T$3="3rd",DAILY!$T$4=TODAY()),DAILY!I19,IF(AND(DAILY!$T$3="3rd",DAILY!$T$4&lt;TODAY()),DAILY!I19,DAILY!O28))</f>
        <v>15540</v>
      </c>
      <c r="D6" s="180"/>
      <c r="E6" s="180"/>
      <c r="F6" s="12"/>
      <c r="G6" s="625">
        <f>IF(AND(DAILY!$T$3="3rd",DAILY!$T$4=TODAY()),DAILY!J19,IF(AND(DAILY!$T$3="3rd",DAILY!$T$4&lt;TODAY()),DAILY!J19,DAILY!P28))</f>
        <v>16210</v>
      </c>
      <c r="H6" s="624">
        <f>IF(AND(DAILY!$T$3="3rd",DAILY!$T$4=TODAY()),DAILY!K19,IF(AND(DAILY!$T$3="3rd",DAILY!$T$4&lt;TODAY()),DAILY!K19,DAILY!Q28))</f>
        <v>0</v>
      </c>
      <c r="I6" s="180"/>
      <c r="J6" s="12"/>
      <c r="K6" s="624">
        <f>IF(AND(DAILY!$T$3="3rd",DAILY!$T$4=TODAY()),DAILY!L19,IF(AND(DAILY!$T$3="3rd",DAILY!$T$4&lt;TODAY()),DAILY!L19,DAILY!S28))</f>
        <v>31750</v>
      </c>
      <c r="L6" s="180"/>
      <c r="M6" s="12"/>
      <c r="N6" s="624">
        <f>IF(AND(DAILY!$T$3="3rd",DAILY!$T$4=TODAY()),DAILY!M19,IF(AND(DAILY!$T$3="3rd",DAILY!$T$4&lt;TODAY()),DAILY!M19,DAILY!T28))</f>
        <v>673590</v>
      </c>
      <c r="O6" s="180"/>
      <c r="P6" s="16"/>
      <c r="Q6" s="26"/>
      <c r="R6" s="26"/>
      <c r="S6" s="626" t="str">
        <f>CONCATENATE("ROM-","  ",C6, ",  ",  G6,",  ",    H6)</f>
        <v>ROM-  15540,  16210,  0</v>
      </c>
      <c r="T6" s="54"/>
      <c r="U6" s="616"/>
      <c r="V6" s="54"/>
      <c r="W6" s="26"/>
      <c r="X6" s="26"/>
      <c r="Y6" s="26"/>
      <c r="Z6" s="26"/>
    </row>
    <row r="7">
      <c r="A7" s="627" t="s">
        <v>332</v>
      </c>
      <c r="B7" s="12"/>
      <c r="C7" s="628">
        <f>IF(AND(DAILY!$T$3="3rd",DAILY!$T$4=TODAY()),DAILY!I20,IF(AND(DAILY!$T$3="3rd",DAILY!$T$4&lt;TODAY()),DAILY!I20,DAILY!O29))</f>
        <v>0</v>
      </c>
      <c r="D7" s="180"/>
      <c r="E7" s="180"/>
      <c r="F7" s="12"/>
      <c r="G7" s="625">
        <f>IF(AND(DAILY!$T$3="3rd",DAILY!$T$4=TODAY()),DAILY!J20,IF(AND(DAILY!$T$3="3rd",DAILY!$T$4&lt;TODAY()),DAILY!J20,DAILY!P29))</f>
        <v>0</v>
      </c>
      <c r="H7" s="624">
        <f>IF(AND(DAILY!$T$3="3rd",DAILY!$T$4=TODAY()),DAILY!K20,IF(AND(DAILY!$T$3="3rd",DAILY!$T$4&lt;TODAY()),DAILY!K20,DAILY!Q29))</f>
        <v>0</v>
      </c>
      <c r="I7" s="180"/>
      <c r="J7" s="12"/>
      <c r="K7" s="628">
        <f>IF(AND(DAILY!$T$3="3rd",DAILY!$T$4=TODAY()),DAILY!L20,IF(AND(DAILY!$T$3="3rd",DAILY!$T$4&lt;TODAY()),DAILY!L20,DAILY!S29))</f>
        <v>0</v>
      </c>
      <c r="L7" s="180"/>
      <c r="M7" s="12"/>
      <c r="N7" s="624">
        <f>IF(AND(DAILY!$T$3="3rd",DAILY!$T$4=TODAY()),DAILY!M20,IF(AND(DAILY!$T$3="3rd",DAILY!$T$4&lt;TODAY()),DAILY!M20,DAILY!T29))</f>
        <v>0</v>
      </c>
      <c r="O7" s="180"/>
      <c r="P7" s="16"/>
      <c r="Q7" s="26"/>
      <c r="R7" s="26"/>
      <c r="S7" s="626" t="str">
        <f>CONCATENATE("SLIME-","  ",C7, ",  ",  G7,",  ",    H7)</f>
        <v>SLIME-  0,  0,  0</v>
      </c>
      <c r="T7" s="54"/>
      <c r="U7" s="616"/>
      <c r="V7" s="54"/>
      <c r="W7" s="26"/>
      <c r="X7" s="26"/>
      <c r="Y7" s="26"/>
      <c r="Z7" s="26"/>
    </row>
    <row r="8">
      <c r="A8" s="623" t="s">
        <v>333</v>
      </c>
      <c r="B8" s="12"/>
      <c r="C8" s="628">
        <f>IF(AND(DAILY!$T$3="3rd",DAILY!$T$4=TODAY()),DAILY!I21,IF(AND(DAILY!$T$3="3rd",DAILY!$T$4&lt;TODAY()),DAILY!I21,DAILY!O30))</f>
        <v>0</v>
      </c>
      <c r="D8" s="180"/>
      <c r="E8" s="180"/>
      <c r="F8" s="12"/>
      <c r="G8" s="625">
        <f>IF(AND(DAILY!$T$3="3rd",DAILY!$T$4=TODAY()),DAILY!J21,IF(AND(DAILY!$T$3="3rd",DAILY!$T$4&lt;TODAY()),DAILY!J21,DAILY!P30))</f>
        <v>0</v>
      </c>
      <c r="H8" s="624">
        <f>IF(AND(DAILY!$T$3="3rd",DAILY!$T$4=TODAY()),DAILY!K21,IF(AND(DAILY!$T$3="3rd",DAILY!$T$4&lt;TODAY()),DAILY!K21,DAILY!Q30))</f>
        <v>0</v>
      </c>
      <c r="I8" s="180"/>
      <c r="J8" s="12"/>
      <c r="K8" s="628">
        <f>IF(AND(DAILY!$T$3="3rd",DAILY!$T$4=TODAY()),DAILY!L21,IF(AND(DAILY!$T$3="3rd",DAILY!$T$4&lt;TODAY()),DAILY!L21,DAILY!S30))</f>
        <v>0</v>
      </c>
      <c r="L8" s="180"/>
      <c r="M8" s="12"/>
      <c r="N8" s="624">
        <f>IF(AND(DAILY!$T$3="3rd",DAILY!$T$4=TODAY()),DAILY!M21,IF(AND(DAILY!$T$3="3rd",DAILY!$T$4&lt;TODAY()),DAILY!M21,DAILY!T30))</f>
        <v>0</v>
      </c>
      <c r="O8" s="180"/>
      <c r="P8" s="16"/>
      <c r="Q8" s="26"/>
      <c r="R8" s="26"/>
      <c r="S8" s="626" t="str">
        <f>CONCATENATE("LUMP-","  ",C8, ",  ",  G8,",  ",    H8)</f>
        <v>LUMP-  0,  0,  0</v>
      </c>
      <c r="T8" s="54"/>
      <c r="U8" s="616"/>
      <c r="V8" s="54"/>
      <c r="W8" s="26"/>
      <c r="X8" s="26"/>
      <c r="Y8" s="26"/>
      <c r="Z8" s="26"/>
    </row>
    <row r="9">
      <c r="A9" s="627" t="s">
        <v>334</v>
      </c>
      <c r="B9" s="12"/>
      <c r="C9" s="628">
        <f>IF(AND(DAILY!$T$3="3rd",DAILY!$T$4=TODAY()),DAILY!I22,IF(AND(DAILY!$T$3="3rd",DAILY!$T$4&lt;TODAY()),DAILY!I22,DAILY!O31))</f>
        <v>4410</v>
      </c>
      <c r="D9" s="180"/>
      <c r="E9" s="180"/>
      <c r="F9" s="12"/>
      <c r="G9" s="625">
        <f>IF(AND(DAILY!$T$3="3rd",DAILY!$T$4=TODAY()),DAILY!J22,IF(AND(DAILY!$T$3="3rd",DAILY!$T$4&lt;TODAY()),DAILY!J22,DAILY!P31))</f>
        <v>3760</v>
      </c>
      <c r="H9" s="624">
        <f>IF(AND(DAILY!$T$3="3rd",DAILY!$T$4=TODAY()),DAILY!K22,IF(AND(DAILY!$T$3="3rd",DAILY!$T$4&lt;TODAY()),DAILY!K22,DAILY!Q31))</f>
        <v>0</v>
      </c>
      <c r="I9" s="180"/>
      <c r="J9" s="12"/>
      <c r="K9" s="628">
        <f>IF(AND(DAILY!$T$3="3rd",DAILY!$T$4=TODAY()),DAILY!L22,IF(AND(DAILY!$T$3="3rd",DAILY!$T$4&lt;TODAY()),DAILY!L22,DAILY!S31))</f>
        <v>8170</v>
      </c>
      <c r="L9" s="180"/>
      <c r="M9" s="12"/>
      <c r="N9" s="624">
        <f>IF(AND(DAILY!$T$3="3rd",DAILY!$T$4=TODAY()),DAILY!M22,IF(AND(DAILY!$T$3="3rd",DAILY!$T$4&lt;TODAY()),DAILY!M22,DAILY!T31))</f>
        <v>221920</v>
      </c>
      <c r="O9" s="180"/>
      <c r="P9" s="16"/>
      <c r="Q9" s="26"/>
      <c r="R9" s="26"/>
      <c r="S9" s="626" t="str">
        <f>CONCATENATE("CLO-","  ",C9, ",  ",  G9,",  ",    H9)</f>
        <v>CLO-  4410,  3760,  0</v>
      </c>
      <c r="T9" s="54"/>
      <c r="U9" s="616"/>
      <c r="V9" s="54"/>
      <c r="W9" s="26"/>
      <c r="X9" s="26"/>
      <c r="Y9" s="26"/>
      <c r="Z9" s="26"/>
    </row>
    <row r="10">
      <c r="A10" s="623" t="s">
        <v>335</v>
      </c>
      <c r="B10" s="12"/>
      <c r="C10" s="628">
        <f>IF(AND(DAILY!$T$3="3rd",DAILY!$T$4=TODAY()),DAILY!I23,IF(AND(DAILY!$T$3="3rd",DAILY!$T$4&lt;TODAY()),DAILY!I23,DAILY!O32))</f>
        <v>11130</v>
      </c>
      <c r="D10" s="180"/>
      <c r="E10" s="180"/>
      <c r="F10" s="12"/>
      <c r="G10" s="625">
        <f>IF(AND(DAILY!$T$3="3rd",DAILY!$T$4=TODAY()),DAILY!J23,IF(AND(DAILY!$T$3="3rd",DAILY!$T$4&lt;TODAY()),DAILY!J23,DAILY!P32))</f>
        <v>12450</v>
      </c>
      <c r="H10" s="624">
        <f>IF(AND(DAILY!$T$3="3rd",DAILY!$T$4=TODAY()),DAILY!K23,IF(AND(DAILY!$T$3="3rd",DAILY!$T$4&lt;TODAY()),DAILY!K23,DAILY!Q32))</f>
        <v>0</v>
      </c>
      <c r="I10" s="180"/>
      <c r="J10" s="12"/>
      <c r="K10" s="628">
        <f>IF(AND(DAILY!$T$3="3rd",DAILY!$T$4=TODAY()),DAILY!L23,IF(AND(DAILY!$T$3="3rd",DAILY!$T$4&lt;TODAY()),DAILY!L23,DAILY!S32))</f>
        <v>23580</v>
      </c>
      <c r="L10" s="180"/>
      <c r="M10" s="12"/>
      <c r="N10" s="624">
        <f>IF(AND(DAILY!$T$3="3rd",DAILY!$T$4=TODAY()),DAILY!M23,IF(AND(DAILY!$T$3="3rd",DAILY!$T$4&lt;TODAY()),DAILY!M23,DAILY!T32))</f>
        <v>451670</v>
      </c>
      <c r="O10" s="180"/>
      <c r="P10" s="16"/>
      <c r="Q10" s="26"/>
      <c r="R10" s="26"/>
      <c r="S10" s="626" t="str">
        <f>CONCATENATE("FINES-","  ",C10, ",  ",  G10,",  ",    H10)</f>
        <v>FINES-  11130,  12450,  0</v>
      </c>
      <c r="T10" s="54"/>
      <c r="U10" s="616"/>
      <c r="V10" s="54"/>
      <c r="W10" s="26"/>
      <c r="X10" s="26"/>
      <c r="Y10" s="26"/>
      <c r="Z10" s="26"/>
    </row>
    <row r="11">
      <c r="A11" s="627" t="s">
        <v>336</v>
      </c>
      <c r="B11" s="12"/>
      <c r="C11" s="628">
        <f>IF(AND(DAILY!$T$3="3rd",DAILY!$T$4=TODAY()),DAILY!I24,IF(AND(DAILY!$T$3="3rd",DAILY!$T$4&lt;TODAY()),DAILY!I24,DAILY!O33))</f>
        <v>0</v>
      </c>
      <c r="D11" s="180"/>
      <c r="E11" s="180"/>
      <c r="F11" s="12"/>
      <c r="G11" s="625">
        <f>IF(AND(DAILY!$T$3="3rd",DAILY!$T$4=TODAY()),DAILY!J24,IF(AND(DAILY!$T$3="3rd",DAILY!$T$4&lt;TODAY()),DAILY!J24,DAILY!P33))</f>
        <v>0</v>
      </c>
      <c r="H11" s="624" t="str">
        <f>IF(AND(DAILY!$T$3="3rd",DAILY!$T$4=TODAY()),DAILY!K24,IF(AND(DAILY!$T$3="3rd",DAILY!$T$4&lt;TODAY()),DAILY!K24,DAILY!Q33))</f>
        <v/>
      </c>
      <c r="I11" s="180"/>
      <c r="J11" s="12"/>
      <c r="K11" s="628">
        <f>IF(AND(DAILY!$T$3="3rd",DAILY!$T$4=TODAY()),DAILY!L24,IF(AND(DAILY!$T$3="3rd",DAILY!$T$4&lt;TODAY()),DAILY!L24,DAILY!S33))</f>
        <v>0</v>
      </c>
      <c r="L11" s="180"/>
      <c r="M11" s="12"/>
      <c r="N11" s="624">
        <f>IF(AND(DAILY!$T$3="3rd",DAILY!$T$4=TODAY()),DAILY!M24,IF(AND(DAILY!$T$3="3rd",DAILY!$T$4&lt;TODAY()),DAILY!M24,DAILY!T33))</f>
        <v>22846</v>
      </c>
      <c r="O11" s="180"/>
      <c r="P11" s="16"/>
      <c r="Q11" s="26"/>
      <c r="R11" s="26"/>
      <c r="S11" s="626" t="str">
        <f>CONCATENATE("FOR-","  ",C11, ",  ",  G11,",  ",    H11)</f>
        <v>FOR-  0,  0,  </v>
      </c>
      <c r="T11" s="54"/>
      <c r="U11" s="616"/>
      <c r="V11" s="54"/>
      <c r="W11" s="26"/>
      <c r="X11" s="26"/>
      <c r="Y11" s="26"/>
      <c r="Z11" s="26"/>
    </row>
    <row r="12">
      <c r="A12" s="629" t="s">
        <v>227</v>
      </c>
      <c r="B12" s="20"/>
      <c r="C12" s="628">
        <f>IF(AND(DAILY!$T$3="3rd",DAILY!$T$4=TODAY()),DAILY!I25,IF(AND(DAILY!$T$3="3rd",DAILY!$T$4&lt;TODAY()),DAILY!I25,DAILY!O34))</f>
        <v>5000</v>
      </c>
      <c r="D12" s="180"/>
      <c r="E12" s="180"/>
      <c r="F12" s="12"/>
      <c r="G12" s="625">
        <f>IF(AND(DAILY!$T$3="3rd",DAILY!$T$4=TODAY()),DAILY!J25,IF(AND(DAILY!$T$3="3rd",DAILY!$T$4&lt;TODAY()),DAILY!J25,DAILY!P34))</f>
        <v>0</v>
      </c>
      <c r="H12" s="624">
        <f>IF(AND(DAILY!$T$3="3rd",DAILY!$T$4=TODAY()),DAILY!K25,IF(AND(DAILY!$T$3="3rd",DAILY!$T$4&lt;TODAY()),DAILY!K25,DAILY!Q34))</f>
        <v>0</v>
      </c>
      <c r="I12" s="180"/>
      <c r="J12" s="12"/>
      <c r="K12" s="628">
        <f>IF(AND(DAILY!$T$3="3rd",DAILY!$T$4=TODAY()),DAILY!L25,IF(AND(DAILY!$T$3="3rd",DAILY!$T$4&lt;TODAY()),DAILY!L25,DAILY!S34))</f>
        <v>5000</v>
      </c>
      <c r="L12" s="180"/>
      <c r="M12" s="12"/>
      <c r="N12" s="624">
        <f>IF(AND(DAILY!$T$3="3rd",DAILY!$T$4=TODAY()),DAILY!M25,IF(AND(DAILY!$T$3="3rd",DAILY!$T$4&lt;TODAY()),DAILY!M25,DAILY!T34))</f>
        <v>105260</v>
      </c>
      <c r="O12" s="180"/>
      <c r="P12" s="16"/>
      <c r="Q12" s="26"/>
      <c r="R12" s="26"/>
      <c r="S12" s="626" t="str">
        <f>CONCATENATE("FOD-","  ",C12, ",  ",  G12,",  ",    H12)</f>
        <v>FOD-  5000,  0,  0</v>
      </c>
      <c r="T12" s="54"/>
      <c r="U12" s="616"/>
      <c r="V12" s="54"/>
      <c r="W12" s="26"/>
      <c r="X12" s="26"/>
      <c r="Y12" s="26"/>
      <c r="Z12" s="26"/>
    </row>
    <row r="13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407"/>
      <c r="T13" s="54"/>
      <c r="U13" s="616"/>
      <c r="V13" s="54"/>
      <c r="W13" s="26"/>
      <c r="X13" s="26"/>
      <c r="Y13" s="26"/>
      <c r="Z13" s="26"/>
    </row>
    <row r="14">
      <c r="A14" s="630">
        <v>0.3333333333333333</v>
      </c>
      <c r="B14" s="631">
        <v>0.0</v>
      </c>
      <c r="C14" s="632" t="s">
        <v>240</v>
      </c>
      <c r="D14" s="633"/>
      <c r="E14" s="634"/>
      <c r="F14" s="635"/>
      <c r="G14" s="404"/>
      <c r="H14" s="635"/>
      <c r="I14" s="635"/>
      <c r="J14" s="404"/>
      <c r="K14" s="404"/>
      <c r="L14" s="404"/>
      <c r="M14" s="404"/>
      <c r="N14" s="404"/>
      <c r="O14" s="404"/>
      <c r="P14" s="405"/>
      <c r="Q14" s="26"/>
      <c r="R14" s="26"/>
      <c r="S14" s="636" t="s">
        <v>337</v>
      </c>
      <c r="T14" s="26"/>
      <c r="U14" s="637"/>
      <c r="V14" s="26"/>
      <c r="W14" s="26"/>
      <c r="X14" s="26"/>
      <c r="Y14" s="26"/>
      <c r="Z14" s="26"/>
    </row>
    <row r="15">
      <c r="A15" s="392" t="s">
        <v>338</v>
      </c>
      <c r="B15" s="638"/>
      <c r="C15" s="639" t="s">
        <v>339</v>
      </c>
      <c r="D15" s="640" t="s">
        <v>13</v>
      </c>
      <c r="E15" s="641" t="s">
        <v>339</v>
      </c>
      <c r="F15" s="642" t="s">
        <v>13</v>
      </c>
      <c r="G15" s="643" t="s">
        <v>340</v>
      </c>
      <c r="H15" s="641" t="s">
        <v>339</v>
      </c>
      <c r="I15" s="642" t="s">
        <v>13</v>
      </c>
      <c r="J15" s="643" t="s">
        <v>340</v>
      </c>
      <c r="K15" s="641" t="s">
        <v>339</v>
      </c>
      <c r="L15" s="642" t="s">
        <v>13</v>
      </c>
      <c r="M15" s="643" t="s">
        <v>340</v>
      </c>
      <c r="N15" s="641" t="s">
        <v>339</v>
      </c>
      <c r="O15" s="642" t="s">
        <v>13</v>
      </c>
      <c r="P15" s="643" t="s">
        <v>340</v>
      </c>
      <c r="Q15" s="26"/>
      <c r="R15" s="26"/>
      <c r="S15" s="644" t="str">
        <f>CONCATENATE("ROM-","     ",K6)</f>
        <v>ROM-     31750</v>
      </c>
      <c r="T15" s="26"/>
      <c r="U15" s="637"/>
      <c r="V15" s="26"/>
      <c r="W15" s="26"/>
      <c r="X15" s="26"/>
      <c r="Y15" s="26"/>
      <c r="Z15" s="26"/>
    </row>
    <row r="16">
      <c r="A16" s="645" t="s">
        <v>341</v>
      </c>
      <c r="B16" s="16"/>
      <c r="C16" s="646">
        <v>2.0</v>
      </c>
      <c r="D16" s="647">
        <v>30.0</v>
      </c>
      <c r="E16" s="104"/>
      <c r="F16" s="54"/>
      <c r="G16" s="648"/>
      <c r="H16" s="104"/>
      <c r="I16" s="54"/>
      <c r="J16" s="648"/>
      <c r="K16" s="104"/>
      <c r="L16" s="54"/>
      <c r="M16" s="648"/>
      <c r="N16" s="104"/>
      <c r="O16" s="54"/>
      <c r="P16" s="648"/>
      <c r="Q16" s="41"/>
      <c r="R16" s="41"/>
      <c r="S16" s="644" t="str">
        <f>CONCATENATE("SLIME-","     ",K7)</f>
        <v>SLIME-     0</v>
      </c>
      <c r="T16" s="26"/>
      <c r="U16" s="637"/>
      <c r="V16" s="26"/>
      <c r="W16" s="26"/>
      <c r="X16" s="26"/>
      <c r="Y16" s="26"/>
      <c r="Z16" s="26"/>
    </row>
    <row r="17">
      <c r="A17" s="649" t="s">
        <v>342</v>
      </c>
      <c r="B17" s="16"/>
      <c r="C17" s="646">
        <v>1.0</v>
      </c>
      <c r="D17" s="650">
        <v>10.0</v>
      </c>
      <c r="E17" s="651"/>
      <c r="F17" s="652"/>
      <c r="G17" s="653"/>
      <c r="H17" s="651"/>
      <c r="I17" s="652"/>
      <c r="J17" s="653"/>
      <c r="K17" s="651"/>
      <c r="L17" s="652"/>
      <c r="M17" s="653"/>
      <c r="N17" s="651"/>
      <c r="O17" s="652"/>
      <c r="P17" s="653"/>
      <c r="Q17" s="26" t="str">
        <f>CONCATENATE(IF(E18&lt;&gt;0,CONCATENATE("(",TEXT(E18,"H:MM"),"-",G17,")"),"")," ",IF(H18&lt;&gt;0,CONCATENATE("(",TEXT(H18,"H:MM"),"-",J17,")"),"")," ",IF(K18&lt;&gt;0,CONCATENATE("(",TEXT(K18,"H:MM"),"-",M17,")"),"")," ",IF(N18&lt;&gt;0,CONCATENATE("(",TEXT(N18,"H:MM"),"-",P17,")"),""))</f>
        <v>#VALUE!</v>
      </c>
      <c r="R17" s="26"/>
      <c r="S17" s="644" t="str">
        <f>CONCATENATE("LUMP-","     ",K8)</f>
        <v>LUMP-     0</v>
      </c>
      <c r="T17" s="26"/>
      <c r="U17" s="637"/>
      <c r="V17" s="26"/>
      <c r="W17" s="26"/>
      <c r="X17" s="26"/>
      <c r="Y17" s="26"/>
      <c r="Z17" s="26"/>
    </row>
    <row r="18">
      <c r="A18" s="654" t="s">
        <v>343</v>
      </c>
      <c r="B18" s="655"/>
      <c r="C18" s="656">
        <f>C64</f>
        <v>0.1805555556</v>
      </c>
      <c r="D18" s="25"/>
      <c r="E18" s="657" t="str">
        <f>E64+B14</f>
        <v>#VALUE!</v>
      </c>
      <c r="F18" s="227"/>
      <c r="G18" s="26"/>
      <c r="H18" s="657" t="str">
        <f>H64+E14</f>
        <v>#VALUE!</v>
      </c>
      <c r="I18" s="227"/>
      <c r="J18" s="26"/>
      <c r="K18" s="657" t="str">
        <f>K64+H14</f>
        <v>#VALUE!</v>
      </c>
      <c r="L18" s="227"/>
      <c r="M18" s="26"/>
      <c r="N18" s="657" t="str">
        <f>N64+K14</f>
        <v>#VALUE!</v>
      </c>
      <c r="O18" s="227"/>
      <c r="P18" s="414"/>
      <c r="Q18" s="26"/>
      <c r="R18" s="26"/>
      <c r="S18" s="644" t="str">
        <f>CONCATENATE("CLO-","      ",K9)</f>
        <v>CLO-      8170</v>
      </c>
      <c r="T18" s="26"/>
      <c r="U18" s="637"/>
      <c r="V18" s="26"/>
      <c r="W18" s="26"/>
      <c r="X18" s="26"/>
      <c r="Y18" s="26"/>
      <c r="Z18" s="26"/>
    </row>
    <row r="19">
      <c r="A19" s="407"/>
      <c r="B19" s="414"/>
      <c r="C19" s="658"/>
      <c r="D19" s="414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414"/>
      <c r="Q19" s="26"/>
      <c r="R19" s="26"/>
      <c r="S19" s="644" t="str">
        <f>CONCATENATE("FINES-","   ",K10)</f>
        <v>FINES-   23580</v>
      </c>
      <c r="T19" s="26"/>
      <c r="U19" s="637"/>
      <c r="V19" s="26"/>
      <c r="W19" s="26"/>
      <c r="X19" s="26"/>
      <c r="Y19" s="26"/>
      <c r="Z19" s="26"/>
    </row>
    <row r="20">
      <c r="A20" s="659" t="s">
        <v>344</v>
      </c>
      <c r="B20" s="660"/>
      <c r="C20" s="639" t="s">
        <v>339</v>
      </c>
      <c r="D20" s="640" t="s">
        <v>13</v>
      </c>
      <c r="E20" s="641" t="s">
        <v>339</v>
      </c>
      <c r="F20" s="642" t="s">
        <v>13</v>
      </c>
      <c r="G20" s="643" t="s">
        <v>340</v>
      </c>
      <c r="H20" s="641" t="s">
        <v>339</v>
      </c>
      <c r="I20" s="642" t="s">
        <v>13</v>
      </c>
      <c r="J20" s="643" t="s">
        <v>340</v>
      </c>
      <c r="K20" s="641" t="s">
        <v>339</v>
      </c>
      <c r="L20" s="642" t="s">
        <v>13</v>
      </c>
      <c r="M20" s="643" t="s">
        <v>340</v>
      </c>
      <c r="N20" s="641" t="s">
        <v>339</v>
      </c>
      <c r="O20" s="642" t="s">
        <v>13</v>
      </c>
      <c r="P20" s="643" t="s">
        <v>340</v>
      </c>
      <c r="Q20" s="26"/>
      <c r="R20" s="26"/>
      <c r="S20" s="644" t="str">
        <f>CONCATENATE("FOR-","      ",K11)</f>
        <v>FOR-      0</v>
      </c>
      <c r="T20" s="26"/>
      <c r="U20" s="637"/>
      <c r="V20" s="26"/>
      <c r="W20" s="26"/>
      <c r="X20" s="26"/>
      <c r="Y20" s="26"/>
      <c r="Z20" s="26"/>
    </row>
    <row r="21" ht="15.75" customHeight="1">
      <c r="A21" s="645" t="s">
        <v>341</v>
      </c>
      <c r="B21" s="16"/>
      <c r="C21" s="646"/>
      <c r="D21" s="647"/>
      <c r="E21" s="104"/>
      <c r="F21" s="54"/>
      <c r="G21" s="648"/>
      <c r="H21" s="104"/>
      <c r="I21" s="54"/>
      <c r="J21" s="648"/>
      <c r="K21" s="104"/>
      <c r="L21" s="54"/>
      <c r="M21" s="648"/>
      <c r="N21" s="104"/>
      <c r="O21" s="54"/>
      <c r="P21" s="648"/>
      <c r="Q21" s="26"/>
      <c r="R21" s="26"/>
      <c r="S21" s="644" t="str">
        <f>CONCATENATE("FOD-","      ",K12)</f>
        <v>FOD-      5000</v>
      </c>
      <c r="T21" s="26"/>
      <c r="U21" s="637"/>
      <c r="V21" s="26"/>
      <c r="W21" s="26"/>
      <c r="X21" s="26"/>
      <c r="Y21" s="26"/>
      <c r="Z21" s="26"/>
    </row>
    <row r="22" ht="15.75" customHeight="1">
      <c r="A22" s="649" t="s">
        <v>342</v>
      </c>
      <c r="B22" s="16"/>
      <c r="C22" s="646"/>
      <c r="D22" s="650">
        <v>40.0</v>
      </c>
      <c r="E22" s="651"/>
      <c r="F22" s="652"/>
      <c r="G22" s="653"/>
      <c r="H22" s="651"/>
      <c r="I22" s="652"/>
      <c r="J22" s="653"/>
      <c r="K22" s="651"/>
      <c r="L22" s="652"/>
      <c r="M22" s="653"/>
      <c r="N22" s="651"/>
      <c r="O22" s="652"/>
      <c r="P22" s="653"/>
      <c r="Q22" s="26" t="str">
        <f>CONCATENATE(IF(E23&lt;&gt;0,CONCATENATE("(",TEXT(E23,"H:MM"),"-",G22,")"),"")," ",IF(H23&lt;&gt;0,CONCATENATE("(",TEXT(H23,"H:MM"),"-",J22,")"),"")," ",IF(K23&lt;&gt;0,CONCATENATE("(",TEXT(K23,"H:MM"),"-",M22,")"),"")," ",IF(N23&lt;&gt;0,CONCATENATE("(",TEXT(N23,"H:MM"),"-",P22,")"),""))</f>
        <v>#VALUE!</v>
      </c>
      <c r="R22" s="26"/>
      <c r="S22" s="661"/>
      <c r="T22" s="26"/>
      <c r="U22" s="637"/>
      <c r="V22" s="26"/>
      <c r="W22" s="26"/>
      <c r="X22" s="26"/>
      <c r="Y22" s="26"/>
      <c r="Z22" s="26"/>
    </row>
    <row r="23" ht="15.75" customHeight="1">
      <c r="A23" s="654" t="s">
        <v>343</v>
      </c>
      <c r="B23" s="655"/>
      <c r="C23" s="656" t="str">
        <f>C69</f>
        <v>#VALUE!</v>
      </c>
      <c r="D23" s="25"/>
      <c r="E23" s="657" t="str">
        <f>E69+B19</f>
        <v>#VALUE!</v>
      </c>
      <c r="F23" s="227"/>
      <c r="G23" s="26"/>
      <c r="H23" s="657" t="str">
        <f>H69+E19</f>
        <v>#VALUE!</v>
      </c>
      <c r="I23" s="227"/>
      <c r="J23" s="26"/>
      <c r="K23" s="657" t="str">
        <f>K69+H19</f>
        <v>#VALUE!</v>
      </c>
      <c r="L23" s="227"/>
      <c r="M23" s="26"/>
      <c r="N23" s="657" t="str">
        <f>N69+K19</f>
        <v>#VALUE!</v>
      </c>
      <c r="O23" s="227"/>
      <c r="P23" s="414"/>
      <c r="Q23" s="26"/>
      <c r="R23" s="26"/>
      <c r="S23" s="636" t="s">
        <v>345</v>
      </c>
      <c r="T23" s="26"/>
      <c r="U23" s="637"/>
      <c r="V23" s="26"/>
      <c r="W23" s="26"/>
      <c r="X23" s="26"/>
      <c r="Y23" s="26"/>
      <c r="Z23" s="26"/>
    </row>
    <row r="24" ht="15.75" customHeight="1">
      <c r="A24" s="407"/>
      <c r="B24" s="414"/>
      <c r="C24" s="658"/>
      <c r="D24" s="414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414"/>
      <c r="Q24" s="26"/>
      <c r="R24" s="26"/>
      <c r="S24" s="644" t="str">
        <f>CONCATENATE("ROM-","     ",N6)</f>
        <v>ROM-     673590</v>
      </c>
      <c r="T24" s="26"/>
      <c r="U24" s="637"/>
      <c r="V24" s="26"/>
      <c r="W24" s="26"/>
      <c r="X24" s="26"/>
      <c r="Y24" s="26"/>
      <c r="Z24" s="26"/>
    </row>
    <row r="25" ht="15.75" customHeight="1">
      <c r="A25" s="662" t="s">
        <v>346</v>
      </c>
      <c r="B25" s="663"/>
      <c r="C25" s="639" t="s">
        <v>339</v>
      </c>
      <c r="D25" s="640" t="s">
        <v>13</v>
      </c>
      <c r="E25" s="641" t="s">
        <v>339</v>
      </c>
      <c r="F25" s="642" t="s">
        <v>13</v>
      </c>
      <c r="G25" s="643" t="s">
        <v>340</v>
      </c>
      <c r="H25" s="641" t="s">
        <v>339</v>
      </c>
      <c r="I25" s="642" t="s">
        <v>13</v>
      </c>
      <c r="J25" s="643" t="s">
        <v>340</v>
      </c>
      <c r="K25" s="641" t="s">
        <v>339</v>
      </c>
      <c r="L25" s="642" t="s">
        <v>13</v>
      </c>
      <c r="M25" s="643" t="s">
        <v>340</v>
      </c>
      <c r="N25" s="641" t="s">
        <v>339</v>
      </c>
      <c r="O25" s="642" t="s">
        <v>13</v>
      </c>
      <c r="P25" s="643" t="s">
        <v>340</v>
      </c>
      <c r="Q25" s="26"/>
      <c r="R25" s="26"/>
      <c r="S25" s="644" t="str">
        <f>CONCATENATE("SLIME-","     ",N7)</f>
        <v>SLIME-     0</v>
      </c>
      <c r="T25" s="26"/>
      <c r="U25" s="637"/>
      <c r="V25" s="26"/>
      <c r="W25" s="26"/>
      <c r="X25" s="26"/>
      <c r="Y25" s="26"/>
      <c r="Z25" s="26"/>
    </row>
    <row r="26" ht="15.75" customHeight="1">
      <c r="A26" s="645" t="s">
        <v>341</v>
      </c>
      <c r="B26" s="16"/>
      <c r="C26" s="646"/>
      <c r="D26" s="647"/>
      <c r="E26" s="104"/>
      <c r="F26" s="54"/>
      <c r="G26" s="648"/>
      <c r="H26" s="104"/>
      <c r="I26" s="54"/>
      <c r="J26" s="648"/>
      <c r="K26" s="104"/>
      <c r="L26" s="54"/>
      <c r="M26" s="648"/>
      <c r="N26" s="104"/>
      <c r="O26" s="54"/>
      <c r="P26" s="648"/>
      <c r="Q26" s="26"/>
      <c r="R26" s="26"/>
      <c r="S26" s="644" t="str">
        <f>CONCATENATE("LUMP-","     ",N8)</f>
        <v>LUMP-     0</v>
      </c>
      <c r="T26" s="26"/>
      <c r="U26" s="637"/>
      <c r="V26" s="26"/>
      <c r="W26" s="26"/>
      <c r="X26" s="26"/>
      <c r="Y26" s="26"/>
      <c r="Z26" s="26"/>
    </row>
    <row r="27" ht="15.75" customHeight="1">
      <c r="A27" s="649" t="s">
        <v>342</v>
      </c>
      <c r="B27" s="16"/>
      <c r="C27" s="646"/>
      <c r="D27" s="650"/>
      <c r="E27" s="651"/>
      <c r="F27" s="652"/>
      <c r="G27" s="653"/>
      <c r="H27" s="651"/>
      <c r="I27" s="652"/>
      <c r="J27" s="653"/>
      <c r="K27" s="651"/>
      <c r="L27" s="652"/>
      <c r="M27" s="653"/>
      <c r="N27" s="651"/>
      <c r="O27" s="652"/>
      <c r="P27" s="653"/>
      <c r="Q27" s="26" t="str">
        <f>CONCATENATE(IF(E28&lt;&gt;0,CONCATENATE("(",TEXT(E28,"H:MM"),"-",G27,")"),"")," ",IF(H28&lt;&gt;0,CONCATENATE("(",TEXT(H28,"H:MM"),"-",J27,")"),"")," ",IF(K28&lt;&gt;0,CONCATENATE("(",TEXT(K28,"H:MM"),"-",M27,")"),"")," ",IF(N28&lt;&gt;0,CONCATENATE("(",TEXT(N28,"H:MM"),"-",P27,")"),""))</f>
        <v>#VALUE!</v>
      </c>
      <c r="R27" s="26"/>
      <c r="S27" s="644" t="str">
        <f>CONCATENATE("CLO-","      ",N9)</f>
        <v>CLO-      221920</v>
      </c>
      <c r="T27" s="26"/>
      <c r="U27" s="637"/>
      <c r="V27" s="26"/>
      <c r="W27" s="26"/>
      <c r="X27" s="26"/>
      <c r="Y27" s="26"/>
      <c r="Z27" s="26"/>
    </row>
    <row r="28" ht="15.75" customHeight="1">
      <c r="A28" s="664" t="s">
        <v>343</v>
      </c>
      <c r="B28" s="665"/>
      <c r="C28" s="656" t="str">
        <f>C74</f>
        <v>#VALUE!</v>
      </c>
      <c r="D28" s="25"/>
      <c r="E28" s="666" t="str">
        <f>E74+B24</f>
        <v>#VALUE!</v>
      </c>
      <c r="F28" s="24"/>
      <c r="G28" s="530"/>
      <c r="H28" s="666" t="str">
        <f>H74+E24</f>
        <v>#VALUE!</v>
      </c>
      <c r="I28" s="24"/>
      <c r="J28" s="530"/>
      <c r="K28" s="666" t="str">
        <f>K74+H24</f>
        <v>#VALUE!</v>
      </c>
      <c r="L28" s="24"/>
      <c r="M28" s="530"/>
      <c r="N28" s="666" t="str">
        <f>N74+K24</f>
        <v>#VALUE!</v>
      </c>
      <c r="O28" s="24"/>
      <c r="P28" s="667"/>
      <c r="Q28" s="26"/>
      <c r="R28" s="26"/>
      <c r="S28" s="644" t="str">
        <f>CONCATENATE("FINES-","   ",N10)</f>
        <v>FINES-   451670</v>
      </c>
      <c r="T28" s="26"/>
      <c r="U28" s="637"/>
      <c r="V28" s="26"/>
      <c r="W28" s="26"/>
      <c r="X28" s="26"/>
      <c r="Y28" s="26"/>
      <c r="Z28" s="26"/>
    </row>
    <row r="29" ht="15.75" customHeight="1">
      <c r="A29" s="668"/>
      <c r="B29" s="669"/>
      <c r="C29" s="27"/>
      <c r="D29" s="670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6"/>
      <c r="R29" s="26"/>
      <c r="S29" s="644" t="str">
        <f>CONCATENATE("FOR-","      ",N11)</f>
        <v>FOR-      22846</v>
      </c>
      <c r="T29" s="26"/>
      <c r="U29" s="637"/>
      <c r="V29" s="26"/>
      <c r="W29" s="26"/>
      <c r="X29" s="26"/>
      <c r="Y29" s="26"/>
      <c r="Z29" s="26"/>
    </row>
    <row r="30" ht="15.75" customHeight="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644" t="str">
        <f>CONCATENATE("FOD-","      ",N12)</f>
        <v>FOD-      105260</v>
      </c>
      <c r="T30" s="26"/>
      <c r="U30" s="637"/>
      <c r="V30" s="26"/>
      <c r="W30" s="26"/>
      <c r="X30" s="26"/>
      <c r="Y30" s="26"/>
      <c r="Z30" s="26"/>
    </row>
    <row r="31" ht="15.75" customHeight="1">
      <c r="A31" s="32"/>
      <c r="C31" s="32"/>
      <c r="D31" s="671"/>
      <c r="E31" s="672"/>
      <c r="F31" s="672"/>
      <c r="G31" s="672"/>
      <c r="H31" s="672"/>
      <c r="I31" s="672"/>
      <c r="J31" s="672"/>
      <c r="K31" s="672"/>
      <c r="L31" s="672"/>
      <c r="M31" s="672"/>
      <c r="N31" s="672"/>
      <c r="O31" s="672"/>
      <c r="P31" s="672"/>
      <c r="Q31" s="26"/>
      <c r="R31" s="26"/>
      <c r="S31" s="661"/>
      <c r="T31" s="26"/>
      <c r="U31" s="637"/>
      <c r="V31" s="26"/>
      <c r="W31" s="26"/>
      <c r="X31" s="26"/>
      <c r="Y31" s="26"/>
      <c r="Z31" s="26"/>
    </row>
    <row r="32" ht="15.75" customHeight="1">
      <c r="A32" s="26"/>
      <c r="B32" s="26"/>
      <c r="C32" s="26"/>
      <c r="D32" s="671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636" t="s">
        <v>347</v>
      </c>
      <c r="T32" s="26"/>
      <c r="U32" s="637"/>
      <c r="V32" s="26"/>
      <c r="W32" s="26"/>
      <c r="X32" s="26"/>
      <c r="Y32" s="26"/>
      <c r="Z32" s="26"/>
    </row>
    <row r="33" ht="15.75" customHeight="1">
      <c r="A33" s="26"/>
      <c r="B33" s="33"/>
      <c r="C33" s="673" t="str">
        <f t="shared" ref="C33:C34" si="1">CONCATENATE(C62,":",D62)</f>
        <v>2:30</v>
      </c>
      <c r="D33" s="673"/>
      <c r="E33" s="26"/>
      <c r="F33" s="26"/>
      <c r="G33" s="26"/>
      <c r="H33" s="26"/>
      <c r="I33" s="26"/>
      <c r="J33" s="26"/>
      <c r="K33" s="26"/>
      <c r="L33" s="26"/>
      <c r="M33" s="674"/>
      <c r="N33" s="26"/>
      <c r="O33" s="26"/>
      <c r="P33" s="26"/>
      <c r="Q33" s="26"/>
      <c r="R33" s="26"/>
      <c r="S33" s="675" t="str">
        <f>CONCATENATE("L/P-stopped-"," ",TEXT(C33,"HH:MM")," ","Hrs")</f>
        <v>L/P-stopped- 02:30 Hrs</v>
      </c>
      <c r="T33" s="26"/>
      <c r="U33" s="637"/>
      <c r="V33" s="26"/>
      <c r="W33" s="26"/>
      <c r="X33" s="26"/>
      <c r="Y33" s="26"/>
      <c r="Z33" s="26"/>
    </row>
    <row r="34" ht="15.75" customHeight="1">
      <c r="A34" s="26"/>
      <c r="B34" s="33"/>
      <c r="C34" s="673" t="str">
        <f t="shared" si="1"/>
        <v>1:10</v>
      </c>
      <c r="D34" s="33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676" t="str">
        <f>CONCATENATE("S/P-stopped-"," ",TEXT(C34,"HH:MM")," ","Hrs"," ",Q17)</f>
        <v>#VALUE!</v>
      </c>
      <c r="T34" s="26"/>
      <c r="U34" s="637"/>
      <c r="V34" s="26"/>
      <c r="W34" s="26"/>
      <c r="X34" s="26"/>
      <c r="Y34" s="26"/>
      <c r="Z34" s="26"/>
    </row>
    <row r="35" ht="15.75" customHeight="1">
      <c r="A35" s="26"/>
      <c r="B35" s="33"/>
      <c r="C35" s="33"/>
      <c r="D35" s="33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644" t="str">
        <f>CONCATENATE("Effective Hrs-"," ",TEXT(C18,"HH:MM"))</f>
        <v>Effective Hrs- 04:20</v>
      </c>
      <c r="T35" s="26"/>
      <c r="U35" s="637"/>
      <c r="V35" s="26"/>
      <c r="W35" s="26"/>
      <c r="X35" s="26"/>
      <c r="Y35" s="26"/>
      <c r="Z35" s="26"/>
    </row>
    <row r="36" ht="15.75" customHeight="1">
      <c r="A36" s="26"/>
      <c r="B36" s="33"/>
      <c r="C36" s="33"/>
      <c r="D36" s="33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677"/>
      <c r="T36" s="26"/>
      <c r="U36" s="637"/>
      <c r="V36" s="26"/>
      <c r="W36" s="26"/>
      <c r="X36" s="26"/>
      <c r="Y36" s="26"/>
      <c r="Z36" s="26"/>
    </row>
    <row r="37" ht="15.75" customHeight="1">
      <c r="A37" s="26"/>
      <c r="B37" s="33"/>
      <c r="C37" s="673"/>
      <c r="D37" s="33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636" t="s">
        <v>348</v>
      </c>
      <c r="T37" s="26"/>
      <c r="U37" s="637"/>
      <c r="V37" s="26"/>
      <c r="W37" s="26"/>
      <c r="X37" s="26"/>
      <c r="Y37" s="26"/>
      <c r="Z37" s="26"/>
    </row>
    <row r="38" ht="15.75" customHeight="1">
      <c r="A38" s="26"/>
      <c r="B38" s="33"/>
      <c r="C38" s="33" t="str">
        <f t="shared" ref="C38:C39" si="2">CONCATENATE(C67,":",D67)</f>
        <v>0:0</v>
      </c>
      <c r="D38" s="33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644" t="str">
        <f>CONCATENATE("L/P-stopped-"," ",TEXT(C38,"HH:MM")," ","Hrs")</f>
        <v>L/P-stopped- 0:0 Hrs</v>
      </c>
      <c r="T38" s="26"/>
      <c r="U38" s="637"/>
      <c r="V38" s="26"/>
      <c r="W38" s="26"/>
      <c r="X38" s="26"/>
      <c r="Y38" s="26"/>
      <c r="Z38" s="26"/>
    </row>
    <row r="39" ht="15.75" customHeight="1">
      <c r="A39" s="26"/>
      <c r="B39" s="33"/>
      <c r="C39" s="33" t="str">
        <f t="shared" si="2"/>
        <v>0:40</v>
      </c>
      <c r="D39" s="33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676" t="str">
        <f>CONCATENATE("S/P-stopped-"," ",TEXT(C39,"HH:MM")," ","Hrs"," ",Q22)</f>
        <v>#VALUE!</v>
      </c>
      <c r="T39" s="26"/>
      <c r="U39" s="637"/>
      <c r="V39" s="26"/>
      <c r="W39" s="26"/>
      <c r="X39" s="26"/>
      <c r="Y39" s="26"/>
      <c r="Z39" s="26"/>
    </row>
    <row r="40" ht="15.75" customHeight="1">
      <c r="A40" s="26"/>
      <c r="B40" s="33"/>
      <c r="C40" s="33"/>
      <c r="D40" s="33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644" t="str">
        <f>CONCATENATE("Effective Hrs-"," ",TEXT(C23,"HH:MM"))</f>
        <v>#VALUE!</v>
      </c>
      <c r="T40" s="26"/>
      <c r="U40" s="637"/>
      <c r="V40" s="26"/>
      <c r="W40" s="26"/>
      <c r="X40" s="26"/>
      <c r="Y40" s="26"/>
      <c r="Z40" s="26"/>
    </row>
    <row r="41" ht="15.75" customHeight="1">
      <c r="A41" s="26"/>
      <c r="B41" s="33"/>
      <c r="C41" s="33"/>
      <c r="D41" s="33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677"/>
      <c r="T41" s="26"/>
      <c r="U41" s="637"/>
      <c r="V41" s="26"/>
      <c r="W41" s="26"/>
      <c r="X41" s="26"/>
      <c r="Y41" s="26"/>
      <c r="Z41" s="26"/>
    </row>
    <row r="42" ht="15.75" customHeight="1">
      <c r="A42" s="26"/>
      <c r="B42" s="33"/>
      <c r="C42" s="33"/>
      <c r="D42" s="33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636" t="s">
        <v>349</v>
      </c>
      <c r="T42" s="26"/>
      <c r="U42" s="637"/>
      <c r="V42" s="26"/>
      <c r="W42" s="26"/>
      <c r="X42" s="26"/>
      <c r="Y42" s="26"/>
      <c r="Z42" s="26"/>
    </row>
    <row r="43" ht="15.75" customHeight="1">
      <c r="A43" s="26"/>
      <c r="B43" s="33"/>
      <c r="C43" s="33" t="str">
        <f t="shared" ref="C43:C44" si="3">CONCATENATE(C72,":",D72)</f>
        <v>0:0</v>
      </c>
      <c r="D43" s="33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644" t="str">
        <f>CONCATENATE("L/P-stopped-"," ",TEXT(C43,"HH:MM")," ","Hrs")</f>
        <v>L/P-stopped- 0:0 Hrs</v>
      </c>
      <c r="T43" s="26"/>
      <c r="U43" s="637"/>
      <c r="V43" s="26"/>
      <c r="W43" s="26"/>
      <c r="X43" s="26"/>
      <c r="Y43" s="26"/>
      <c r="Z43" s="26"/>
    </row>
    <row r="44" ht="16.5" customHeight="1">
      <c r="A44" s="26"/>
      <c r="B44" s="33"/>
      <c r="C44" s="33" t="str">
        <f t="shared" si="3"/>
        <v>0:0</v>
      </c>
      <c r="D44" s="33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676" t="str">
        <f>CONCATENATE("S/P-stopped-"," ",TEXT(C44,"HH:MM")," ","Hrs"," ",Q27)</f>
        <v>#VALUE!</v>
      </c>
      <c r="T44" s="26"/>
      <c r="U44" s="637"/>
      <c r="V44" s="26"/>
      <c r="W44" s="26"/>
      <c r="X44" s="26"/>
      <c r="Y44" s="26"/>
      <c r="Z44" s="26"/>
    </row>
    <row r="45" ht="15.75" customHeight="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644" t="str">
        <f>CONCATENATE("Effective Hrs-"," ",TEXT(C28,"HH:MM"))</f>
        <v>#VALUE!</v>
      </c>
      <c r="T45" s="26"/>
      <c r="U45" s="637"/>
      <c r="V45" s="26"/>
      <c r="W45" s="26"/>
      <c r="X45" s="26"/>
      <c r="Y45" s="26"/>
      <c r="Z45" s="26"/>
    </row>
    <row r="46" ht="15.75" customHeight="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678"/>
      <c r="T46" s="26"/>
      <c r="U46" s="637"/>
      <c r="V46" s="26"/>
      <c r="W46" s="26"/>
      <c r="X46" s="26"/>
      <c r="Y46" s="26"/>
      <c r="Z46" s="26"/>
    </row>
    <row r="47" ht="15.75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679"/>
      <c r="T47" s="26"/>
      <c r="U47" s="637"/>
      <c r="V47" s="26"/>
      <c r="W47" s="26"/>
      <c r="X47" s="26"/>
      <c r="Y47" s="26"/>
      <c r="Z47" s="26"/>
    </row>
    <row r="48" ht="15.7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679"/>
      <c r="T48" s="26"/>
      <c r="U48" s="637"/>
      <c r="V48" s="26"/>
      <c r="W48" s="26"/>
      <c r="X48" s="26"/>
      <c r="Y48" s="26"/>
      <c r="Z48" s="26"/>
    </row>
    <row r="49" ht="15.7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679"/>
      <c r="T49" s="26"/>
      <c r="U49" s="637"/>
      <c r="V49" s="26"/>
      <c r="W49" s="26"/>
      <c r="X49" s="26"/>
      <c r="Y49" s="26"/>
      <c r="Z49" s="26"/>
    </row>
    <row r="50" ht="15.75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679"/>
      <c r="T50" s="26"/>
      <c r="U50" s="637"/>
      <c r="V50" s="26"/>
      <c r="W50" s="26"/>
      <c r="X50" s="26"/>
      <c r="Y50" s="26"/>
      <c r="Z50" s="26"/>
    </row>
    <row r="51" ht="15.75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679"/>
      <c r="T51" s="26"/>
      <c r="U51" s="637"/>
      <c r="V51" s="26"/>
      <c r="W51" s="26"/>
      <c r="X51" s="26"/>
      <c r="Y51" s="26"/>
      <c r="Z51" s="26"/>
    </row>
    <row r="52" ht="15.75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679"/>
      <c r="T52" s="26"/>
      <c r="U52" s="637"/>
      <c r="V52" s="26"/>
      <c r="W52" s="26"/>
      <c r="X52" s="26"/>
      <c r="Y52" s="26"/>
      <c r="Z52" s="26"/>
    </row>
    <row r="53" ht="15.75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679"/>
      <c r="T53" s="26"/>
      <c r="U53" s="637"/>
      <c r="V53" s="26"/>
      <c r="W53" s="26"/>
      <c r="X53" s="26"/>
      <c r="Y53" s="26"/>
      <c r="Z53" s="26"/>
    </row>
    <row r="54" ht="15.75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679"/>
      <c r="T54" s="26"/>
      <c r="U54" s="637"/>
      <c r="V54" s="26"/>
      <c r="W54" s="26"/>
      <c r="X54" s="26"/>
      <c r="Y54" s="26"/>
      <c r="Z54" s="26"/>
    </row>
    <row r="55" ht="15.75" customHeight="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679"/>
      <c r="T55" s="26"/>
      <c r="U55" s="637"/>
      <c r="V55" s="26"/>
      <c r="W55" s="26"/>
      <c r="X55" s="26"/>
      <c r="Y55" s="26"/>
      <c r="Z55" s="26"/>
    </row>
    <row r="56" ht="15.75" customHeight="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679"/>
      <c r="T56" s="26"/>
      <c r="U56" s="637"/>
      <c r="V56" s="26"/>
      <c r="W56" s="26"/>
      <c r="X56" s="26"/>
      <c r="Y56" s="26"/>
      <c r="Z56" s="26"/>
    </row>
    <row r="57" ht="15.75" customHeight="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679"/>
      <c r="T57" s="26"/>
      <c r="U57" s="637"/>
      <c r="V57" s="26"/>
      <c r="W57" s="26"/>
      <c r="X57" s="26"/>
      <c r="Y57" s="26"/>
      <c r="Z57" s="26"/>
    </row>
    <row r="58" ht="15.75" customHeight="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637"/>
      <c r="V58" s="26"/>
      <c r="W58" s="26"/>
      <c r="X58" s="26"/>
      <c r="Y58" s="26"/>
      <c r="Z58" s="26"/>
    </row>
    <row r="59" ht="15.75" customHeight="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637"/>
      <c r="V59" s="26"/>
      <c r="W59" s="26"/>
      <c r="X59" s="26"/>
      <c r="Y59" s="26"/>
      <c r="Z59" s="26"/>
    </row>
    <row r="60" ht="15.75" customHeight="1">
      <c r="A60" s="630">
        <f t="shared" ref="A60:B60" si="4">A14</f>
        <v>0.3333333333</v>
      </c>
      <c r="B60" s="631">
        <f t="shared" si="4"/>
        <v>0</v>
      </c>
      <c r="C60" s="632" t="s">
        <v>350</v>
      </c>
      <c r="D60" s="633"/>
      <c r="E60" s="680"/>
      <c r="F60" s="635"/>
      <c r="G60" s="404"/>
      <c r="H60" s="635"/>
      <c r="I60" s="635"/>
      <c r="J60" s="404"/>
      <c r="K60" s="404"/>
      <c r="L60" s="404"/>
      <c r="M60" s="404"/>
      <c r="N60" s="404"/>
      <c r="O60" s="404"/>
      <c r="P60" s="405"/>
      <c r="Q60" s="26"/>
      <c r="R60" s="26"/>
      <c r="S60" s="26"/>
      <c r="T60" s="26"/>
      <c r="U60" s="637"/>
      <c r="V60" s="26"/>
      <c r="W60" s="26"/>
      <c r="X60" s="26"/>
      <c r="Y60" s="26"/>
      <c r="Z60" s="26"/>
    </row>
    <row r="61" ht="15.75" customHeight="1">
      <c r="A61" s="392" t="s">
        <v>338</v>
      </c>
      <c r="B61" s="638"/>
      <c r="C61" s="681" t="s">
        <v>339</v>
      </c>
      <c r="D61" s="682" t="s">
        <v>13</v>
      </c>
      <c r="E61" s="641" t="s">
        <v>339</v>
      </c>
      <c r="F61" s="642" t="s">
        <v>13</v>
      </c>
      <c r="G61" s="643" t="s">
        <v>340</v>
      </c>
      <c r="H61" s="641" t="s">
        <v>339</v>
      </c>
      <c r="I61" s="642" t="s">
        <v>13</v>
      </c>
      <c r="J61" s="643" t="s">
        <v>340</v>
      </c>
      <c r="K61" s="641" t="s">
        <v>339</v>
      </c>
      <c r="L61" s="642" t="s">
        <v>13</v>
      </c>
      <c r="M61" s="643" t="s">
        <v>340</v>
      </c>
      <c r="N61" s="641" t="s">
        <v>339</v>
      </c>
      <c r="O61" s="642" t="s">
        <v>13</v>
      </c>
      <c r="P61" s="643" t="s">
        <v>340</v>
      </c>
      <c r="Q61" s="26"/>
      <c r="R61" s="26"/>
      <c r="S61" s="26"/>
      <c r="T61" s="26"/>
      <c r="U61" s="637"/>
      <c r="V61" s="26"/>
      <c r="W61" s="26"/>
      <c r="X61" s="26"/>
      <c r="Y61" s="26"/>
      <c r="Z61" s="26"/>
    </row>
    <row r="62" ht="15.75" customHeight="1">
      <c r="A62" s="645" t="s">
        <v>341</v>
      </c>
      <c r="B62" s="16"/>
      <c r="C62" s="646">
        <f t="shared" ref="C62:D62" si="5">IF(C16="",0,C16)</f>
        <v>2</v>
      </c>
      <c r="D62" s="646">
        <f t="shared" si="5"/>
        <v>30</v>
      </c>
      <c r="E62" s="104"/>
      <c r="F62" s="54"/>
      <c r="G62" s="648"/>
      <c r="H62" s="104"/>
      <c r="I62" s="54"/>
      <c r="J62" s="648"/>
      <c r="K62" s="104"/>
      <c r="L62" s="54"/>
      <c r="M62" s="648"/>
      <c r="N62" s="104"/>
      <c r="O62" s="54"/>
      <c r="P62" s="648"/>
      <c r="Q62" s="26"/>
      <c r="R62" s="26"/>
      <c r="S62" s="26"/>
      <c r="T62" s="26"/>
      <c r="U62" s="637"/>
      <c r="V62" s="26"/>
      <c r="W62" s="26"/>
      <c r="X62" s="26"/>
      <c r="Y62" s="26"/>
      <c r="Z62" s="26"/>
    </row>
    <row r="63" ht="15.75" customHeight="1">
      <c r="A63" s="649" t="s">
        <v>342</v>
      </c>
      <c r="B63" s="16"/>
      <c r="C63" s="646">
        <f t="shared" ref="C63:F63" si="6">IF(C17="",0,C17)</f>
        <v>1</v>
      </c>
      <c r="D63" s="646">
        <f t="shared" si="6"/>
        <v>10</v>
      </c>
      <c r="E63" s="651">
        <f t="shared" si="6"/>
        <v>0</v>
      </c>
      <c r="F63" s="652">
        <f t="shared" si="6"/>
        <v>0</v>
      </c>
      <c r="G63" s="653" t="s">
        <v>351</v>
      </c>
      <c r="H63" s="651">
        <f t="shared" ref="H63:I63" si="7">IF(H17="",0,H17)</f>
        <v>0</v>
      </c>
      <c r="I63" s="652">
        <f t="shared" si="7"/>
        <v>0</v>
      </c>
      <c r="J63" s="653" t="s">
        <v>351</v>
      </c>
      <c r="K63" s="651">
        <f t="shared" ref="K63:L63" si="8">IF(K17="",0,K17)</f>
        <v>0</v>
      </c>
      <c r="L63" s="652">
        <f t="shared" si="8"/>
        <v>0</v>
      </c>
      <c r="M63" s="653" t="s">
        <v>351</v>
      </c>
      <c r="N63" s="651">
        <f t="shared" ref="N63:O63" si="9">IF(N17="",0,N17)</f>
        <v>0</v>
      </c>
      <c r="O63" s="652">
        <f t="shared" si="9"/>
        <v>0</v>
      </c>
      <c r="P63" s="653" t="s">
        <v>351</v>
      </c>
      <c r="Q63" s="26"/>
      <c r="R63" s="26"/>
      <c r="S63" s="26"/>
      <c r="T63" s="26"/>
      <c r="U63" s="637"/>
      <c r="V63" s="26"/>
      <c r="W63" s="26"/>
      <c r="X63" s="26"/>
      <c r="Y63" s="26"/>
      <c r="Z63" s="26"/>
    </row>
    <row r="64" ht="15.75" customHeight="1">
      <c r="A64" s="654" t="s">
        <v>343</v>
      </c>
      <c r="B64" s="655"/>
      <c r="C64" s="656">
        <f>SUM(A60,-(B60+CONCATENATE(C62,":",D62)),-(B60+CONCATENATE(C63,":",D63)))</f>
        <v>0.1805555556</v>
      </c>
      <c r="D64" s="25"/>
      <c r="E64" s="683" t="str">
        <f>CONCATENATE(E63,":",F63)</f>
        <v>0:0</v>
      </c>
      <c r="F64" s="657"/>
      <c r="G64" s="26"/>
      <c r="H64" s="683" t="str">
        <f>CONCATENATE(H63,":",I63)</f>
        <v>0:0</v>
      </c>
      <c r="I64" s="657"/>
      <c r="J64" s="26"/>
      <c r="K64" s="683" t="str">
        <f>CONCATENATE(K63,":",L63)</f>
        <v>0:0</v>
      </c>
      <c r="L64" s="657"/>
      <c r="M64" s="26"/>
      <c r="N64" s="683" t="str">
        <f>CONCATENATE(N63,":",O63)</f>
        <v>0:0</v>
      </c>
      <c r="O64" s="657"/>
      <c r="P64" s="26"/>
      <c r="Q64" s="26"/>
      <c r="R64" s="26"/>
      <c r="S64" s="26"/>
      <c r="T64" s="26"/>
      <c r="U64" s="637"/>
      <c r="V64" s="26"/>
      <c r="W64" s="26"/>
      <c r="X64" s="26"/>
      <c r="Y64" s="26"/>
      <c r="Z64" s="26"/>
    </row>
    <row r="65" ht="15.75" customHeight="1">
      <c r="A65" s="407"/>
      <c r="B65" s="414"/>
      <c r="C65" s="658"/>
      <c r="D65" s="414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414"/>
      <c r="Q65" s="26"/>
      <c r="R65" s="26"/>
      <c r="S65" s="26"/>
      <c r="T65" s="26"/>
      <c r="U65" s="637"/>
      <c r="V65" s="26"/>
      <c r="W65" s="26"/>
      <c r="X65" s="26"/>
      <c r="Y65" s="26"/>
      <c r="Z65" s="26"/>
    </row>
    <row r="66" ht="15.75" customHeight="1">
      <c r="A66" s="659" t="s">
        <v>344</v>
      </c>
      <c r="B66" s="660"/>
      <c r="C66" s="639" t="s">
        <v>339</v>
      </c>
      <c r="D66" s="640" t="s">
        <v>13</v>
      </c>
      <c r="E66" s="641" t="s">
        <v>339</v>
      </c>
      <c r="F66" s="642" t="s">
        <v>13</v>
      </c>
      <c r="G66" s="643" t="s">
        <v>340</v>
      </c>
      <c r="H66" s="641" t="s">
        <v>339</v>
      </c>
      <c r="I66" s="642" t="s">
        <v>13</v>
      </c>
      <c r="J66" s="643" t="s">
        <v>340</v>
      </c>
      <c r="K66" s="641" t="s">
        <v>339</v>
      </c>
      <c r="L66" s="642" t="s">
        <v>13</v>
      </c>
      <c r="M66" s="643" t="s">
        <v>340</v>
      </c>
      <c r="N66" s="641" t="s">
        <v>339</v>
      </c>
      <c r="O66" s="642" t="s">
        <v>13</v>
      </c>
      <c r="P66" s="643" t="s">
        <v>340</v>
      </c>
      <c r="Q66" s="26"/>
      <c r="R66" s="26"/>
      <c r="S66" s="26"/>
      <c r="T66" s="26"/>
      <c r="U66" s="637"/>
      <c r="V66" s="26"/>
      <c r="W66" s="26"/>
      <c r="X66" s="26"/>
      <c r="Y66" s="26"/>
      <c r="Z66" s="26"/>
    </row>
    <row r="67" ht="15.75" customHeight="1">
      <c r="A67" s="645" t="s">
        <v>341</v>
      </c>
      <c r="B67" s="16"/>
      <c r="C67" s="646">
        <f t="shared" ref="C67:D67" si="10">IF(C21="",0,C21)</f>
        <v>0</v>
      </c>
      <c r="D67" s="646">
        <f t="shared" si="10"/>
        <v>0</v>
      </c>
      <c r="E67" s="104"/>
      <c r="F67" s="54"/>
      <c r="G67" s="648"/>
      <c r="H67" s="104"/>
      <c r="I67" s="54"/>
      <c r="J67" s="648"/>
      <c r="K67" s="104"/>
      <c r="L67" s="54"/>
      <c r="M67" s="648"/>
      <c r="N67" s="104"/>
      <c r="O67" s="54"/>
      <c r="P67" s="648"/>
      <c r="Q67" s="26"/>
      <c r="R67" s="26"/>
      <c r="S67" s="26"/>
      <c r="T67" s="26"/>
      <c r="U67" s="637"/>
      <c r="V67" s="26"/>
      <c r="W67" s="26"/>
      <c r="X67" s="26"/>
      <c r="Y67" s="26"/>
      <c r="Z67" s="26"/>
    </row>
    <row r="68" ht="15.75" customHeight="1">
      <c r="A68" s="649" t="s">
        <v>342</v>
      </c>
      <c r="B68" s="16"/>
      <c r="C68" s="646">
        <f t="shared" ref="C68:F68" si="11">IF(C22="",0,C22)</f>
        <v>0</v>
      </c>
      <c r="D68" s="646">
        <f t="shared" si="11"/>
        <v>40</v>
      </c>
      <c r="E68" s="651">
        <f t="shared" si="11"/>
        <v>0</v>
      </c>
      <c r="F68" s="652">
        <f t="shared" si="11"/>
        <v>0</v>
      </c>
      <c r="G68" s="653" t="s">
        <v>351</v>
      </c>
      <c r="H68" s="651">
        <f t="shared" ref="H68:I68" si="12">IF(H22="",0,H22)</f>
        <v>0</v>
      </c>
      <c r="I68" s="652">
        <f t="shared" si="12"/>
        <v>0</v>
      </c>
      <c r="J68" s="653" t="s">
        <v>351</v>
      </c>
      <c r="K68" s="651">
        <f t="shared" ref="K68:L68" si="13">IF(K22="",0,K22)</f>
        <v>0</v>
      </c>
      <c r="L68" s="652">
        <f t="shared" si="13"/>
        <v>0</v>
      </c>
      <c r="M68" s="653" t="s">
        <v>351</v>
      </c>
      <c r="N68" s="651">
        <f t="shared" ref="N68:O68" si="14">IF(N22="",0,N22)</f>
        <v>0</v>
      </c>
      <c r="O68" s="652">
        <f t="shared" si="14"/>
        <v>0</v>
      </c>
      <c r="P68" s="653" t="s">
        <v>351</v>
      </c>
      <c r="Q68" s="26"/>
      <c r="R68" s="26"/>
      <c r="S68" s="26"/>
      <c r="T68" s="26"/>
      <c r="U68" s="637"/>
      <c r="V68" s="26"/>
      <c r="W68" s="26"/>
      <c r="X68" s="26"/>
      <c r="Y68" s="26"/>
      <c r="Z68" s="26"/>
    </row>
    <row r="69" ht="15.75" customHeight="1">
      <c r="A69" s="654" t="s">
        <v>343</v>
      </c>
      <c r="B69" s="655"/>
      <c r="C69" s="656" t="str">
        <f>SUM(A60,-(B60+CONCATENATE(C67,":",D67)),-(B60+CONCATENATE(C68,":",D68)))</f>
        <v>#VALUE!</v>
      </c>
      <c r="D69" s="25"/>
      <c r="E69" s="683" t="str">
        <f>CONCATENATE(E68,":",F68)</f>
        <v>0:0</v>
      </c>
      <c r="F69" s="657"/>
      <c r="G69" s="26"/>
      <c r="H69" s="683" t="str">
        <f>CONCATENATE(H68,":",I68)</f>
        <v>0:0</v>
      </c>
      <c r="I69" s="657"/>
      <c r="J69" s="26"/>
      <c r="K69" s="683" t="str">
        <f>CONCATENATE(K68,":",L68)</f>
        <v>0:0</v>
      </c>
      <c r="L69" s="657"/>
      <c r="M69" s="26"/>
      <c r="N69" s="683" t="str">
        <f>CONCATENATE(N68,":",O68)</f>
        <v>0:0</v>
      </c>
      <c r="O69" s="657"/>
      <c r="P69" s="26"/>
      <c r="Q69" s="26"/>
      <c r="R69" s="26"/>
      <c r="S69" s="26"/>
      <c r="T69" s="26"/>
      <c r="U69" s="637"/>
      <c r="V69" s="26"/>
      <c r="W69" s="26"/>
      <c r="X69" s="26"/>
      <c r="Y69" s="26"/>
      <c r="Z69" s="26"/>
    </row>
    <row r="70" ht="15.75" customHeight="1">
      <c r="A70" s="407"/>
      <c r="B70" s="414"/>
      <c r="C70" s="658"/>
      <c r="D70" s="414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414"/>
      <c r="Q70" s="26"/>
      <c r="R70" s="26"/>
      <c r="S70" s="26"/>
      <c r="T70" s="26"/>
      <c r="U70" s="637"/>
      <c r="V70" s="26"/>
      <c r="W70" s="26"/>
      <c r="X70" s="26"/>
      <c r="Y70" s="26"/>
      <c r="Z70" s="26"/>
    </row>
    <row r="71" ht="15.75" customHeight="1">
      <c r="A71" s="662" t="s">
        <v>346</v>
      </c>
      <c r="B71" s="663"/>
      <c r="C71" s="639" t="s">
        <v>339</v>
      </c>
      <c r="D71" s="640" t="s">
        <v>13</v>
      </c>
      <c r="E71" s="641" t="s">
        <v>339</v>
      </c>
      <c r="F71" s="642" t="s">
        <v>13</v>
      </c>
      <c r="G71" s="643" t="s">
        <v>340</v>
      </c>
      <c r="H71" s="641" t="s">
        <v>339</v>
      </c>
      <c r="I71" s="642" t="s">
        <v>13</v>
      </c>
      <c r="J71" s="643" t="s">
        <v>340</v>
      </c>
      <c r="K71" s="641" t="s">
        <v>339</v>
      </c>
      <c r="L71" s="642" t="s">
        <v>13</v>
      </c>
      <c r="M71" s="643" t="s">
        <v>340</v>
      </c>
      <c r="N71" s="641" t="s">
        <v>339</v>
      </c>
      <c r="O71" s="642" t="s">
        <v>13</v>
      </c>
      <c r="P71" s="643" t="s">
        <v>340</v>
      </c>
      <c r="Q71" s="26"/>
      <c r="R71" s="26"/>
      <c r="S71" s="26"/>
      <c r="T71" s="26"/>
      <c r="U71" s="637"/>
      <c r="V71" s="26"/>
      <c r="W71" s="26"/>
      <c r="X71" s="26"/>
      <c r="Y71" s="26"/>
      <c r="Z71" s="26"/>
    </row>
    <row r="72" ht="15.75" customHeight="1">
      <c r="A72" s="645" t="s">
        <v>341</v>
      </c>
      <c r="B72" s="16"/>
      <c r="C72" s="646">
        <f t="shared" ref="C72:D72" si="15">IF(C26="",0,C26)</f>
        <v>0</v>
      </c>
      <c r="D72" s="646">
        <f t="shared" si="15"/>
        <v>0</v>
      </c>
      <c r="E72" s="104"/>
      <c r="F72" s="54"/>
      <c r="G72" s="648"/>
      <c r="H72" s="104"/>
      <c r="I72" s="54"/>
      <c r="J72" s="648"/>
      <c r="K72" s="104"/>
      <c r="L72" s="54"/>
      <c r="M72" s="648"/>
      <c r="N72" s="104"/>
      <c r="O72" s="54"/>
      <c r="P72" s="648"/>
      <c r="Q72" s="26"/>
      <c r="R72" s="26"/>
      <c r="S72" s="26"/>
      <c r="T72" s="26"/>
      <c r="U72" s="637"/>
      <c r="V72" s="26"/>
      <c r="W72" s="26"/>
      <c r="X72" s="26"/>
      <c r="Y72" s="26"/>
      <c r="Z72" s="26"/>
    </row>
    <row r="73" ht="15.75" customHeight="1">
      <c r="A73" s="649" t="s">
        <v>342</v>
      </c>
      <c r="B73" s="16"/>
      <c r="C73" s="646">
        <f t="shared" ref="C73:F73" si="16">IF(C27="",0,C27)</f>
        <v>0</v>
      </c>
      <c r="D73" s="646">
        <f t="shared" si="16"/>
        <v>0</v>
      </c>
      <c r="E73" s="651">
        <f t="shared" si="16"/>
        <v>0</v>
      </c>
      <c r="F73" s="652">
        <f t="shared" si="16"/>
        <v>0</v>
      </c>
      <c r="G73" s="653" t="s">
        <v>351</v>
      </c>
      <c r="H73" s="651">
        <f t="shared" ref="H73:I73" si="17">IF(H27="",0,H27)</f>
        <v>0</v>
      </c>
      <c r="I73" s="652">
        <f t="shared" si="17"/>
        <v>0</v>
      </c>
      <c r="J73" s="653" t="s">
        <v>351</v>
      </c>
      <c r="K73" s="651">
        <f t="shared" ref="K73:L73" si="18">IF(K27="",0,K27)</f>
        <v>0</v>
      </c>
      <c r="L73" s="652">
        <f t="shared" si="18"/>
        <v>0</v>
      </c>
      <c r="M73" s="653" t="s">
        <v>351</v>
      </c>
      <c r="N73" s="651">
        <f t="shared" ref="N73:O73" si="19">IF(N27="",0,N27)</f>
        <v>0</v>
      </c>
      <c r="O73" s="652">
        <f t="shared" si="19"/>
        <v>0</v>
      </c>
      <c r="P73" s="653" t="s">
        <v>351</v>
      </c>
      <c r="Q73" s="26"/>
      <c r="R73" s="26"/>
      <c r="S73" s="26"/>
      <c r="T73" s="26"/>
      <c r="U73" s="637"/>
      <c r="V73" s="26"/>
      <c r="W73" s="26"/>
      <c r="X73" s="26"/>
      <c r="Y73" s="26"/>
      <c r="Z73" s="26"/>
    </row>
    <row r="74" ht="15.75" customHeight="1">
      <c r="A74" s="664" t="s">
        <v>343</v>
      </c>
      <c r="B74" s="665"/>
      <c r="C74" s="656" t="str">
        <f>SUM(A60,-(B60+CONCATENATE(C72,":",D72)),-(B60+CONCATENATE(C73,":",D73)))</f>
        <v>#VALUE!</v>
      </c>
      <c r="D74" s="25"/>
      <c r="E74" s="683" t="str">
        <f>CONCATENATE(E73,":",F73)</f>
        <v>0:0</v>
      </c>
      <c r="F74" s="657"/>
      <c r="G74" s="26"/>
      <c r="H74" s="683" t="str">
        <f>CONCATENATE(H73,":",I73)</f>
        <v>0:0</v>
      </c>
      <c r="I74" s="657"/>
      <c r="J74" s="26"/>
      <c r="K74" s="683" t="str">
        <f>CONCATENATE(K73,":",L73)</f>
        <v>0:0</v>
      </c>
      <c r="L74" s="657"/>
      <c r="M74" s="26"/>
      <c r="N74" s="683" t="str">
        <f>CONCATENATE(N73,":",O73)</f>
        <v>0:0</v>
      </c>
      <c r="O74" s="657"/>
      <c r="P74" s="26"/>
      <c r="Q74" s="26"/>
      <c r="R74" s="26"/>
      <c r="S74" s="26"/>
      <c r="T74" s="26"/>
      <c r="U74" s="637"/>
      <c r="V74" s="26"/>
      <c r="W74" s="26"/>
      <c r="X74" s="26"/>
      <c r="Y74" s="26"/>
      <c r="Z74" s="26"/>
    </row>
    <row r="75" ht="15.75" customHeight="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637"/>
      <c r="V75" s="26"/>
      <c r="W75" s="26"/>
      <c r="X75" s="26"/>
      <c r="Y75" s="26"/>
      <c r="Z75" s="26"/>
    </row>
    <row r="76" ht="15.75" customHeight="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637"/>
      <c r="V76" s="26"/>
      <c r="W76" s="26"/>
      <c r="X76" s="26"/>
      <c r="Y76" s="26"/>
      <c r="Z76" s="26"/>
    </row>
    <row r="77" ht="15.75" customHeight="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637"/>
      <c r="V77" s="26"/>
      <c r="W77" s="26"/>
      <c r="X77" s="26"/>
      <c r="Y77" s="26"/>
      <c r="Z77" s="26"/>
    </row>
    <row r="78" ht="15.75" customHeight="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637"/>
      <c r="V78" s="26"/>
      <c r="W78" s="26"/>
      <c r="X78" s="26"/>
      <c r="Y78" s="26"/>
      <c r="Z78" s="26"/>
    </row>
    <row r="79" ht="15.75" customHeight="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637"/>
      <c r="V79" s="26"/>
      <c r="W79" s="26"/>
      <c r="X79" s="26"/>
      <c r="Y79" s="26"/>
      <c r="Z79" s="26"/>
    </row>
    <row r="80" ht="15.75" customHeight="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637"/>
      <c r="V80" s="26"/>
      <c r="W80" s="26"/>
      <c r="X80" s="26"/>
      <c r="Y80" s="26"/>
      <c r="Z80" s="26"/>
    </row>
    <row r="81" ht="15.75" customHeight="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637"/>
      <c r="V81" s="26"/>
      <c r="W81" s="26"/>
      <c r="X81" s="26"/>
      <c r="Y81" s="26"/>
      <c r="Z81" s="26"/>
    </row>
    <row r="82" ht="15.75" customHeight="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637"/>
      <c r="V82" s="26"/>
      <c r="W82" s="26"/>
      <c r="X82" s="26"/>
      <c r="Y82" s="26"/>
      <c r="Z82" s="26"/>
    </row>
    <row r="83" ht="15.75" customHeight="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637"/>
      <c r="V83" s="26"/>
      <c r="W83" s="26"/>
      <c r="X83" s="26"/>
      <c r="Y83" s="26"/>
      <c r="Z83" s="26"/>
    </row>
    <row r="84" ht="15.75" customHeight="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637"/>
      <c r="V84" s="26"/>
      <c r="W84" s="26"/>
      <c r="X84" s="26"/>
      <c r="Y84" s="26"/>
      <c r="Z84" s="26"/>
    </row>
    <row r="85" ht="15.75" customHeight="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637"/>
      <c r="V85" s="26"/>
      <c r="W85" s="26"/>
      <c r="X85" s="26"/>
      <c r="Y85" s="26"/>
      <c r="Z85" s="26"/>
    </row>
    <row r="86" ht="15.75" customHeight="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637"/>
      <c r="V86" s="26"/>
      <c r="W86" s="26"/>
      <c r="X86" s="26"/>
      <c r="Y86" s="26"/>
      <c r="Z86" s="26"/>
    </row>
    <row r="87" ht="15.75" customHeight="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637"/>
      <c r="V87" s="26"/>
      <c r="W87" s="26"/>
      <c r="X87" s="26"/>
      <c r="Y87" s="26"/>
      <c r="Z87" s="26"/>
    </row>
    <row r="88" ht="15.7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637"/>
      <c r="V88" s="26"/>
      <c r="W88" s="26"/>
      <c r="X88" s="26"/>
      <c r="Y88" s="26"/>
      <c r="Z88" s="26"/>
    </row>
    <row r="89" ht="15.75" customHeight="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637"/>
      <c r="V89" s="26"/>
      <c r="W89" s="26"/>
      <c r="X89" s="26"/>
      <c r="Y89" s="26"/>
      <c r="Z89" s="26"/>
    </row>
    <row r="90" ht="15.75" customHeight="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637"/>
      <c r="V90" s="26"/>
      <c r="W90" s="26"/>
      <c r="X90" s="26"/>
      <c r="Y90" s="26"/>
      <c r="Z90" s="26"/>
    </row>
    <row r="91" ht="15.75" customHeight="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637"/>
      <c r="V91" s="26"/>
      <c r="W91" s="26"/>
      <c r="X91" s="26"/>
      <c r="Y91" s="26"/>
      <c r="Z91" s="26"/>
    </row>
    <row r="92" ht="15.75" customHeight="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637"/>
      <c r="V92" s="26"/>
      <c r="W92" s="26"/>
      <c r="X92" s="26"/>
      <c r="Y92" s="26"/>
      <c r="Z92" s="26"/>
    </row>
    <row r="93" ht="15.75" customHeight="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637"/>
      <c r="V93" s="26"/>
      <c r="W93" s="26"/>
      <c r="X93" s="26"/>
      <c r="Y93" s="26"/>
      <c r="Z93" s="26"/>
    </row>
    <row r="94" ht="15.75" customHeight="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637"/>
      <c r="V94" s="26"/>
      <c r="W94" s="26"/>
      <c r="X94" s="26"/>
      <c r="Y94" s="26"/>
      <c r="Z94" s="26"/>
    </row>
    <row r="95" ht="15.75" customHeight="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637"/>
      <c r="V95" s="26"/>
      <c r="W95" s="26"/>
      <c r="X95" s="26"/>
      <c r="Y95" s="26"/>
      <c r="Z95" s="26"/>
    </row>
    <row r="96" ht="15.75" customHeight="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637"/>
      <c r="V96" s="26"/>
      <c r="W96" s="26"/>
      <c r="X96" s="26"/>
      <c r="Y96" s="26"/>
      <c r="Z96" s="26"/>
    </row>
    <row r="97" ht="15.75" customHeight="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637"/>
      <c r="V97" s="26"/>
      <c r="W97" s="26"/>
      <c r="X97" s="26"/>
      <c r="Y97" s="26"/>
      <c r="Z97" s="26"/>
    </row>
    <row r="98" ht="15.75" customHeight="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637"/>
      <c r="V98" s="26"/>
      <c r="W98" s="26"/>
      <c r="X98" s="26"/>
      <c r="Y98" s="26"/>
      <c r="Z98" s="26"/>
    </row>
    <row r="99" ht="15.75" customHeight="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637"/>
      <c r="V99" s="26"/>
      <c r="W99" s="26"/>
      <c r="X99" s="26"/>
      <c r="Y99" s="26"/>
      <c r="Z99" s="26"/>
    </row>
    <row r="100" ht="15.75" customHeight="1">
      <c r="A100" s="388">
        <v>0.0</v>
      </c>
      <c r="B100" s="684">
        <v>0.0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637"/>
      <c r="V100" s="26"/>
      <c r="W100" s="26"/>
      <c r="X100" s="26"/>
      <c r="Y100" s="26"/>
      <c r="Z100" s="26"/>
    </row>
    <row r="101" ht="15.75" customHeight="1">
      <c r="A101" s="26">
        <v>1.0</v>
      </c>
      <c r="B101" s="684">
        <v>5.0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637"/>
      <c r="V101" s="26"/>
      <c r="W101" s="26"/>
      <c r="X101" s="26"/>
      <c r="Y101" s="26"/>
      <c r="Z101" s="26"/>
    </row>
    <row r="102" ht="15.75" customHeight="1">
      <c r="A102" s="26">
        <v>2.0</v>
      </c>
      <c r="B102" s="684">
        <v>10.0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637"/>
      <c r="V102" s="26"/>
      <c r="W102" s="26"/>
      <c r="X102" s="26"/>
      <c r="Y102" s="26"/>
      <c r="Z102" s="26"/>
    </row>
    <row r="103" ht="15.75" customHeight="1">
      <c r="A103" s="26">
        <v>3.0</v>
      </c>
      <c r="B103" s="685">
        <v>15.0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637"/>
      <c r="V103" s="26"/>
      <c r="W103" s="26"/>
      <c r="X103" s="26"/>
      <c r="Y103" s="26"/>
      <c r="Z103" s="26"/>
    </row>
    <row r="104" ht="15.75" customHeight="1">
      <c r="A104" s="26">
        <v>4.0</v>
      </c>
      <c r="B104" s="388">
        <v>20.0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637"/>
      <c r="V104" s="26"/>
      <c r="W104" s="26"/>
      <c r="X104" s="26"/>
      <c r="Y104" s="26"/>
      <c r="Z104" s="26"/>
    </row>
    <row r="105" ht="15.75" customHeight="1">
      <c r="A105" s="26">
        <v>5.0</v>
      </c>
      <c r="B105" s="388">
        <v>25.0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637"/>
      <c r="V105" s="26"/>
      <c r="W105" s="26"/>
      <c r="X105" s="26"/>
      <c r="Y105" s="26"/>
      <c r="Z105" s="26"/>
    </row>
    <row r="106" ht="15.75" customHeight="1">
      <c r="A106" s="26">
        <v>6.0</v>
      </c>
      <c r="B106" s="388">
        <v>30.0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637"/>
      <c r="V106" s="26"/>
      <c r="W106" s="26"/>
      <c r="X106" s="26"/>
      <c r="Y106" s="26"/>
      <c r="Z106" s="26"/>
    </row>
    <row r="107" ht="15.75" customHeight="1">
      <c r="A107" s="26">
        <v>7.0</v>
      </c>
      <c r="B107" s="388">
        <v>35.0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637"/>
      <c r="V107" s="26"/>
      <c r="W107" s="26"/>
      <c r="X107" s="26"/>
      <c r="Y107" s="26"/>
      <c r="Z107" s="26"/>
    </row>
    <row r="108" ht="15.75" customHeight="1">
      <c r="A108" s="26">
        <v>8.0</v>
      </c>
      <c r="B108" s="388">
        <v>40.0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637"/>
      <c r="V108" s="26"/>
      <c r="W108" s="26"/>
      <c r="X108" s="26"/>
      <c r="Y108" s="26"/>
      <c r="Z108" s="26"/>
    </row>
    <row r="109" ht="15.75" customHeight="1">
      <c r="A109" s="388"/>
      <c r="B109" s="388">
        <v>45.0</v>
      </c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637"/>
      <c r="V109" s="26"/>
      <c r="W109" s="26"/>
      <c r="X109" s="26"/>
      <c r="Y109" s="26"/>
      <c r="Z109" s="26"/>
    </row>
    <row r="110" ht="15.75" customHeight="1">
      <c r="A110" s="388"/>
      <c r="B110" s="388">
        <v>50.0</v>
      </c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637"/>
      <c r="V110" s="26"/>
      <c r="W110" s="26"/>
      <c r="X110" s="26"/>
      <c r="Y110" s="26"/>
      <c r="Z110" s="26"/>
    </row>
    <row r="111" ht="15.75" customHeight="1">
      <c r="A111" s="388"/>
      <c r="B111" s="388">
        <v>55.0</v>
      </c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637"/>
      <c r="V111" s="26"/>
      <c r="W111" s="26"/>
      <c r="X111" s="26"/>
      <c r="Y111" s="26"/>
      <c r="Z111" s="26"/>
    </row>
    <row r="112" ht="15.75" customHeight="1">
      <c r="A112" s="388"/>
      <c r="B112" s="388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637"/>
      <c r="V112" s="26"/>
      <c r="W112" s="26"/>
      <c r="X112" s="26"/>
      <c r="Y112" s="26"/>
      <c r="Z112" s="26"/>
    </row>
    <row r="113" ht="15.75" customHeight="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637"/>
      <c r="V113" s="26"/>
      <c r="W113" s="26"/>
      <c r="X113" s="26"/>
      <c r="Y113" s="26"/>
      <c r="Z113" s="26"/>
    </row>
    <row r="114" ht="15.75" customHeight="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637"/>
      <c r="V114" s="26"/>
      <c r="W114" s="26"/>
      <c r="X114" s="26"/>
      <c r="Y114" s="26"/>
      <c r="Z114" s="26"/>
    </row>
    <row r="115" ht="15.75" customHeight="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637"/>
      <c r="V115" s="26"/>
      <c r="W115" s="26"/>
      <c r="X115" s="26"/>
      <c r="Y115" s="26"/>
      <c r="Z115" s="26"/>
    </row>
    <row r="116" ht="15.75" customHeight="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637"/>
      <c r="V116" s="26"/>
      <c r="W116" s="26"/>
      <c r="X116" s="26"/>
      <c r="Y116" s="26"/>
      <c r="Z116" s="26"/>
    </row>
    <row r="117" ht="15.75" customHeight="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637"/>
      <c r="V117" s="26"/>
      <c r="W117" s="26"/>
      <c r="X117" s="26"/>
      <c r="Y117" s="26"/>
      <c r="Z117" s="26"/>
    </row>
    <row r="118" ht="15.75" customHeight="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637"/>
      <c r="V118" s="26"/>
      <c r="W118" s="26"/>
      <c r="X118" s="26"/>
      <c r="Y118" s="26"/>
      <c r="Z118" s="26"/>
    </row>
    <row r="119" ht="15.75" customHeight="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637"/>
      <c r="V119" s="26"/>
      <c r="W119" s="26"/>
      <c r="X119" s="26"/>
      <c r="Y119" s="26"/>
      <c r="Z119" s="26"/>
    </row>
    <row r="120" ht="15.75" customHeight="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637"/>
      <c r="V120" s="26"/>
      <c r="W120" s="26"/>
      <c r="X120" s="26"/>
      <c r="Y120" s="26"/>
      <c r="Z120" s="26"/>
    </row>
    <row r="121" ht="15.75" customHeight="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637"/>
      <c r="V121" s="26"/>
      <c r="W121" s="26"/>
      <c r="X121" s="26"/>
      <c r="Y121" s="26"/>
      <c r="Z121" s="26"/>
    </row>
    <row r="122" ht="15.75" customHeight="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637"/>
      <c r="V122" s="26"/>
      <c r="W122" s="26"/>
      <c r="X122" s="26"/>
      <c r="Y122" s="26"/>
      <c r="Z122" s="26"/>
    </row>
    <row r="123" ht="15.75" customHeight="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637"/>
      <c r="V123" s="26"/>
      <c r="W123" s="26"/>
      <c r="X123" s="26"/>
      <c r="Y123" s="26"/>
      <c r="Z123" s="26"/>
    </row>
    <row r="124" ht="15.75" customHeight="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637"/>
      <c r="V124" s="26"/>
      <c r="W124" s="26"/>
      <c r="X124" s="26"/>
      <c r="Y124" s="26"/>
      <c r="Z124" s="26"/>
    </row>
    <row r="125" ht="15.75" customHeight="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637"/>
      <c r="V125" s="26"/>
      <c r="W125" s="26"/>
      <c r="X125" s="26"/>
      <c r="Y125" s="26"/>
      <c r="Z125" s="26"/>
    </row>
    <row r="126" ht="15.75" customHeight="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637"/>
      <c r="V126" s="26"/>
      <c r="W126" s="26"/>
      <c r="X126" s="26"/>
      <c r="Y126" s="26"/>
      <c r="Z126" s="26"/>
    </row>
    <row r="127" ht="15.75" customHeight="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637"/>
      <c r="V127" s="26"/>
      <c r="W127" s="26"/>
      <c r="X127" s="26"/>
      <c r="Y127" s="26"/>
      <c r="Z127" s="26"/>
    </row>
    <row r="128" ht="15.75" customHeight="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637"/>
      <c r="V128" s="26"/>
      <c r="W128" s="26"/>
      <c r="X128" s="26"/>
      <c r="Y128" s="26"/>
      <c r="Z128" s="26"/>
    </row>
    <row r="129" ht="15.75" customHeight="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637"/>
      <c r="V129" s="26"/>
      <c r="W129" s="26"/>
      <c r="X129" s="26"/>
      <c r="Y129" s="26"/>
      <c r="Z129" s="26"/>
    </row>
    <row r="130" ht="15.75" customHeight="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637"/>
      <c r="V130" s="26"/>
      <c r="W130" s="26"/>
      <c r="X130" s="26"/>
      <c r="Y130" s="26"/>
      <c r="Z130" s="26"/>
    </row>
    <row r="131" ht="15.75" customHeight="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637"/>
      <c r="V131" s="26"/>
      <c r="W131" s="26"/>
      <c r="X131" s="26"/>
      <c r="Y131" s="26"/>
      <c r="Z131" s="26"/>
    </row>
    <row r="132" ht="15.75" customHeight="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637"/>
      <c r="V132" s="26"/>
      <c r="W132" s="26"/>
      <c r="X132" s="26"/>
      <c r="Y132" s="26"/>
      <c r="Z132" s="26"/>
    </row>
    <row r="133" ht="15.75" customHeight="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637"/>
      <c r="V133" s="26"/>
      <c r="W133" s="26"/>
      <c r="X133" s="26"/>
      <c r="Y133" s="26"/>
      <c r="Z133" s="26"/>
    </row>
    <row r="134" ht="15.75" customHeight="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637"/>
      <c r="V134" s="26"/>
      <c r="W134" s="26"/>
      <c r="X134" s="26"/>
      <c r="Y134" s="26"/>
      <c r="Z134" s="26"/>
    </row>
    <row r="135" ht="15.75" customHeight="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637"/>
      <c r="V135" s="26"/>
      <c r="W135" s="26"/>
      <c r="X135" s="26"/>
      <c r="Y135" s="26"/>
      <c r="Z135" s="26"/>
    </row>
    <row r="136" ht="15.75" customHeight="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637"/>
      <c r="V136" s="26"/>
      <c r="W136" s="26"/>
      <c r="X136" s="26"/>
      <c r="Y136" s="26"/>
      <c r="Z136" s="26"/>
    </row>
    <row r="137" ht="15.75" customHeight="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637"/>
      <c r="V137" s="26"/>
      <c r="W137" s="26"/>
      <c r="X137" s="26"/>
      <c r="Y137" s="26"/>
      <c r="Z137" s="26"/>
    </row>
    <row r="138" ht="15.75" customHeight="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637"/>
      <c r="V138" s="26"/>
      <c r="W138" s="26"/>
      <c r="X138" s="26"/>
      <c r="Y138" s="26"/>
      <c r="Z138" s="26"/>
    </row>
    <row r="139" ht="15.75" customHeight="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637"/>
      <c r="V139" s="26"/>
      <c r="W139" s="26"/>
      <c r="X139" s="26"/>
      <c r="Y139" s="26"/>
      <c r="Z139" s="26"/>
    </row>
    <row r="140" ht="15.75" customHeight="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637"/>
      <c r="V140" s="26"/>
      <c r="W140" s="26"/>
      <c r="X140" s="26"/>
      <c r="Y140" s="26"/>
      <c r="Z140" s="26"/>
    </row>
    <row r="141" ht="15.75" customHeight="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637"/>
      <c r="V141" s="26"/>
      <c r="W141" s="26"/>
      <c r="X141" s="26"/>
      <c r="Y141" s="26"/>
      <c r="Z141" s="26"/>
    </row>
    <row r="142" ht="15.75" customHeight="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637"/>
      <c r="V142" s="26"/>
      <c r="W142" s="26"/>
      <c r="X142" s="26"/>
      <c r="Y142" s="26"/>
      <c r="Z142" s="26"/>
    </row>
    <row r="143" ht="15.75" customHeight="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637"/>
      <c r="V143" s="26"/>
      <c r="W143" s="26"/>
      <c r="X143" s="26"/>
      <c r="Y143" s="26"/>
      <c r="Z143" s="26"/>
    </row>
    <row r="144" ht="15.75" customHeight="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637"/>
      <c r="V144" s="26"/>
      <c r="W144" s="26"/>
      <c r="X144" s="26"/>
      <c r="Y144" s="26"/>
      <c r="Z144" s="26"/>
    </row>
    <row r="145" ht="15.75" customHeight="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637"/>
      <c r="V145" s="26"/>
      <c r="W145" s="26"/>
      <c r="X145" s="26"/>
      <c r="Y145" s="26"/>
      <c r="Z145" s="26"/>
    </row>
    <row r="146" ht="15.75" customHeight="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637"/>
      <c r="V146" s="26"/>
      <c r="W146" s="26"/>
      <c r="X146" s="26"/>
      <c r="Y146" s="26"/>
      <c r="Z146" s="26"/>
    </row>
    <row r="147" ht="15.75" customHeight="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637"/>
      <c r="V147" s="26"/>
      <c r="W147" s="26"/>
      <c r="X147" s="26"/>
      <c r="Y147" s="26"/>
      <c r="Z147" s="26"/>
    </row>
    <row r="148" ht="15.75" customHeight="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637"/>
      <c r="V148" s="26"/>
      <c r="W148" s="26"/>
      <c r="X148" s="26"/>
      <c r="Y148" s="26"/>
      <c r="Z148" s="26"/>
    </row>
    <row r="149" ht="15.75" customHeight="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637"/>
      <c r="V149" s="26"/>
      <c r="W149" s="26"/>
      <c r="X149" s="26"/>
      <c r="Y149" s="26"/>
      <c r="Z149" s="26"/>
    </row>
    <row r="150" ht="15.75" customHeight="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637"/>
      <c r="V150" s="26"/>
      <c r="W150" s="26"/>
      <c r="X150" s="26"/>
      <c r="Y150" s="26"/>
      <c r="Z150" s="26"/>
    </row>
    <row r="151" ht="15.75" customHeight="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637"/>
      <c r="V151" s="26"/>
      <c r="W151" s="26"/>
      <c r="X151" s="26"/>
      <c r="Y151" s="26"/>
      <c r="Z151" s="26"/>
    </row>
    <row r="152" ht="15.75" customHeight="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637"/>
      <c r="V152" s="26"/>
      <c r="W152" s="26"/>
      <c r="X152" s="26"/>
      <c r="Y152" s="26"/>
      <c r="Z152" s="26"/>
    </row>
    <row r="153" ht="15.75" customHeight="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637"/>
      <c r="V153" s="26"/>
      <c r="W153" s="26"/>
      <c r="X153" s="26"/>
      <c r="Y153" s="26"/>
      <c r="Z153" s="26"/>
    </row>
    <row r="154" ht="15.75" customHeight="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637"/>
      <c r="V154" s="26"/>
      <c r="W154" s="26"/>
      <c r="X154" s="26"/>
      <c r="Y154" s="26"/>
      <c r="Z154" s="26"/>
    </row>
    <row r="155" ht="15.75" customHeight="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637"/>
      <c r="V155" s="26"/>
      <c r="W155" s="26"/>
      <c r="X155" s="26"/>
      <c r="Y155" s="26"/>
      <c r="Z155" s="26"/>
    </row>
    <row r="156" ht="15.75" customHeight="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637"/>
      <c r="V156" s="26"/>
      <c r="W156" s="26"/>
      <c r="X156" s="26"/>
      <c r="Y156" s="26"/>
      <c r="Z156" s="26"/>
    </row>
    <row r="157" ht="15.75" customHeight="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637"/>
      <c r="V157" s="26"/>
      <c r="W157" s="26"/>
      <c r="X157" s="26"/>
      <c r="Y157" s="26"/>
      <c r="Z157" s="26"/>
    </row>
    <row r="158" ht="15.75" customHeight="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637"/>
      <c r="V158" s="26"/>
      <c r="W158" s="26"/>
      <c r="X158" s="26"/>
      <c r="Y158" s="26"/>
      <c r="Z158" s="26"/>
    </row>
    <row r="159" ht="15.75" customHeight="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637"/>
      <c r="V159" s="26"/>
      <c r="W159" s="26"/>
      <c r="X159" s="26"/>
      <c r="Y159" s="26"/>
      <c r="Z159" s="26"/>
    </row>
    <row r="160" ht="15.75" customHeight="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637"/>
      <c r="V160" s="26"/>
      <c r="W160" s="26"/>
      <c r="X160" s="26"/>
      <c r="Y160" s="26"/>
      <c r="Z160" s="26"/>
    </row>
    <row r="161" ht="15.75" customHeight="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637"/>
      <c r="V161" s="26"/>
      <c r="W161" s="26"/>
      <c r="X161" s="26"/>
      <c r="Y161" s="26"/>
      <c r="Z161" s="26"/>
    </row>
    <row r="162" ht="15.75" customHeight="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637"/>
      <c r="V162" s="26"/>
      <c r="W162" s="26"/>
      <c r="X162" s="26"/>
      <c r="Y162" s="26"/>
      <c r="Z162" s="26"/>
    </row>
    <row r="163" ht="15.75" customHeight="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637"/>
      <c r="V163" s="26"/>
      <c r="W163" s="26"/>
      <c r="X163" s="26"/>
      <c r="Y163" s="26"/>
      <c r="Z163" s="26"/>
    </row>
    <row r="164" ht="15.75" customHeight="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637"/>
      <c r="V164" s="26"/>
      <c r="W164" s="26"/>
      <c r="X164" s="26"/>
      <c r="Y164" s="26"/>
      <c r="Z164" s="26"/>
    </row>
    <row r="165" ht="15.75" customHeight="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637"/>
      <c r="V165" s="26"/>
      <c r="W165" s="26"/>
      <c r="X165" s="26"/>
      <c r="Y165" s="26"/>
      <c r="Z165" s="26"/>
    </row>
    <row r="166" ht="15.75" customHeight="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637"/>
      <c r="V166" s="26"/>
      <c r="W166" s="26"/>
      <c r="X166" s="26"/>
      <c r="Y166" s="26"/>
      <c r="Z166" s="26"/>
    </row>
    <row r="167" ht="15.75" customHeight="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637"/>
      <c r="V167" s="26"/>
      <c r="W167" s="26"/>
      <c r="X167" s="26"/>
      <c r="Y167" s="26"/>
      <c r="Z167" s="26"/>
    </row>
    <row r="168" ht="15.75" customHeight="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637"/>
      <c r="V168" s="26"/>
      <c r="W168" s="26"/>
      <c r="X168" s="26"/>
      <c r="Y168" s="26"/>
      <c r="Z168" s="26"/>
    </row>
    <row r="169" ht="15.75" customHeight="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637"/>
      <c r="V169" s="26"/>
      <c r="W169" s="26"/>
      <c r="X169" s="26"/>
      <c r="Y169" s="26"/>
      <c r="Z169" s="26"/>
    </row>
    <row r="170" ht="15.75" customHeight="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637"/>
      <c r="V170" s="26"/>
      <c r="W170" s="26"/>
      <c r="X170" s="26"/>
      <c r="Y170" s="26"/>
      <c r="Z170" s="26"/>
    </row>
    <row r="171" ht="15.75" customHeight="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637"/>
      <c r="V171" s="26"/>
      <c r="W171" s="26"/>
      <c r="X171" s="26"/>
      <c r="Y171" s="26"/>
      <c r="Z171" s="26"/>
    </row>
    <row r="172" ht="15.75" customHeight="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637"/>
      <c r="V172" s="26"/>
      <c r="W172" s="26"/>
      <c r="X172" s="26"/>
      <c r="Y172" s="26"/>
      <c r="Z172" s="26"/>
    </row>
    <row r="173" ht="15.75" customHeight="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637"/>
      <c r="V173" s="26"/>
      <c r="W173" s="26"/>
      <c r="X173" s="26"/>
      <c r="Y173" s="26"/>
      <c r="Z173" s="26"/>
    </row>
    <row r="174" ht="15.75" customHeight="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637"/>
      <c r="V174" s="26"/>
      <c r="W174" s="26"/>
      <c r="X174" s="26"/>
      <c r="Y174" s="26"/>
      <c r="Z174" s="26"/>
    </row>
    <row r="175" ht="15.75" customHeight="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637"/>
      <c r="V175" s="26"/>
      <c r="W175" s="26"/>
      <c r="X175" s="26"/>
      <c r="Y175" s="26"/>
      <c r="Z175" s="26"/>
    </row>
    <row r="176" ht="15.75" customHeight="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637"/>
      <c r="V176" s="26"/>
      <c r="W176" s="26"/>
      <c r="X176" s="26"/>
      <c r="Y176" s="26"/>
      <c r="Z176" s="26"/>
    </row>
    <row r="177" ht="15.75" customHeight="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637"/>
      <c r="V177" s="26"/>
      <c r="W177" s="26"/>
      <c r="X177" s="26"/>
      <c r="Y177" s="26"/>
      <c r="Z177" s="26"/>
    </row>
    <row r="178" ht="15.75" customHeight="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637"/>
      <c r="V178" s="26"/>
      <c r="W178" s="26"/>
      <c r="X178" s="26"/>
      <c r="Y178" s="26"/>
      <c r="Z178" s="26"/>
    </row>
    <row r="179" ht="15.75" customHeight="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637"/>
      <c r="V179" s="26"/>
      <c r="W179" s="26"/>
      <c r="X179" s="26"/>
      <c r="Y179" s="26"/>
      <c r="Z179" s="26"/>
    </row>
    <row r="180" ht="15.75" customHeight="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637"/>
      <c r="V180" s="26"/>
      <c r="W180" s="26"/>
      <c r="X180" s="26"/>
      <c r="Y180" s="26"/>
      <c r="Z180" s="26"/>
    </row>
    <row r="181" ht="15.75" customHeight="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637"/>
      <c r="V181" s="26"/>
      <c r="W181" s="26"/>
      <c r="X181" s="26"/>
      <c r="Y181" s="26"/>
      <c r="Z181" s="26"/>
    </row>
    <row r="182" ht="15.75" customHeight="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637"/>
      <c r="V182" s="26"/>
      <c r="W182" s="26"/>
      <c r="X182" s="26"/>
      <c r="Y182" s="26"/>
      <c r="Z182" s="26"/>
    </row>
    <row r="183" ht="15.75" customHeight="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637"/>
      <c r="V183" s="26"/>
      <c r="W183" s="26"/>
      <c r="X183" s="26"/>
      <c r="Y183" s="26"/>
      <c r="Z183" s="26"/>
    </row>
    <row r="184" ht="15.75" customHeight="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637"/>
      <c r="V184" s="26"/>
      <c r="W184" s="26"/>
      <c r="X184" s="26"/>
      <c r="Y184" s="26"/>
      <c r="Z184" s="26"/>
    </row>
    <row r="185" ht="15.75" customHeight="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637"/>
      <c r="V185" s="26"/>
      <c r="W185" s="26"/>
      <c r="X185" s="26"/>
      <c r="Y185" s="26"/>
      <c r="Z185" s="26"/>
    </row>
    <row r="186" ht="15.75" customHeight="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637"/>
      <c r="V186" s="26"/>
      <c r="W186" s="26"/>
      <c r="X186" s="26"/>
      <c r="Y186" s="26"/>
      <c r="Z186" s="26"/>
    </row>
    <row r="187" ht="15.75" customHeight="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637"/>
      <c r="V187" s="26"/>
      <c r="W187" s="26"/>
      <c r="X187" s="26"/>
      <c r="Y187" s="26"/>
      <c r="Z187" s="26"/>
    </row>
    <row r="188" ht="15.75" customHeight="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637"/>
      <c r="V188" s="26"/>
      <c r="W188" s="26"/>
      <c r="X188" s="26"/>
      <c r="Y188" s="26"/>
      <c r="Z188" s="26"/>
    </row>
    <row r="189" ht="15.75" customHeight="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637"/>
      <c r="V189" s="26"/>
      <c r="W189" s="26"/>
      <c r="X189" s="26"/>
      <c r="Y189" s="26"/>
      <c r="Z189" s="26"/>
    </row>
    <row r="190" ht="15.75" customHeight="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637"/>
      <c r="V190" s="26"/>
      <c r="W190" s="26"/>
      <c r="X190" s="26"/>
      <c r="Y190" s="26"/>
      <c r="Z190" s="26"/>
    </row>
    <row r="191" ht="15.75" customHeight="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637"/>
      <c r="V191" s="26"/>
      <c r="W191" s="26"/>
      <c r="X191" s="26"/>
      <c r="Y191" s="26"/>
      <c r="Z191" s="26"/>
    </row>
    <row r="192" ht="15.75" customHeight="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637"/>
      <c r="V192" s="26"/>
      <c r="W192" s="26"/>
      <c r="X192" s="26"/>
      <c r="Y192" s="26"/>
      <c r="Z192" s="26"/>
    </row>
    <row r="193" ht="15.75" customHeight="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637"/>
      <c r="V193" s="26"/>
      <c r="W193" s="26"/>
      <c r="X193" s="26"/>
      <c r="Y193" s="26"/>
      <c r="Z193" s="26"/>
    </row>
    <row r="194" ht="15.75" customHeight="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637"/>
      <c r="V194" s="26"/>
      <c r="W194" s="26"/>
      <c r="X194" s="26"/>
      <c r="Y194" s="26"/>
      <c r="Z194" s="26"/>
    </row>
    <row r="195" ht="15.75" customHeight="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637"/>
      <c r="V195" s="26"/>
      <c r="W195" s="26"/>
      <c r="X195" s="26"/>
      <c r="Y195" s="26"/>
      <c r="Z195" s="26"/>
    </row>
    <row r="196" ht="15.75" customHeight="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637"/>
      <c r="V196" s="26"/>
      <c r="W196" s="26"/>
      <c r="X196" s="26"/>
      <c r="Y196" s="26"/>
      <c r="Z196" s="26"/>
    </row>
    <row r="197" ht="15.75" customHeight="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637"/>
      <c r="V197" s="26"/>
      <c r="W197" s="26"/>
      <c r="X197" s="26"/>
      <c r="Y197" s="26"/>
      <c r="Z197" s="26"/>
    </row>
    <row r="198" ht="15.75" customHeight="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637"/>
      <c r="V198" s="26"/>
      <c r="W198" s="26"/>
      <c r="X198" s="26"/>
      <c r="Y198" s="26"/>
      <c r="Z198" s="26"/>
    </row>
    <row r="199" ht="15.75" customHeight="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637"/>
      <c r="V199" s="26"/>
      <c r="W199" s="26"/>
      <c r="X199" s="26"/>
      <c r="Y199" s="26"/>
      <c r="Z199" s="26"/>
    </row>
    <row r="200" ht="15.75" customHeight="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637"/>
      <c r="V200" s="26"/>
      <c r="W200" s="26"/>
      <c r="X200" s="26"/>
      <c r="Y200" s="26"/>
      <c r="Z200" s="26"/>
    </row>
    <row r="201" ht="15.75" customHeight="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637"/>
      <c r="V201" s="26"/>
      <c r="W201" s="26"/>
      <c r="X201" s="26"/>
      <c r="Y201" s="26"/>
      <c r="Z201" s="26"/>
    </row>
    <row r="202" ht="15.75" customHeight="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637"/>
      <c r="V202" s="26"/>
      <c r="W202" s="26"/>
      <c r="X202" s="26"/>
      <c r="Y202" s="26"/>
      <c r="Z202" s="26"/>
    </row>
    <row r="203" ht="15.75" customHeight="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637"/>
      <c r="V203" s="26"/>
      <c r="W203" s="26"/>
      <c r="X203" s="26"/>
      <c r="Y203" s="26"/>
      <c r="Z203" s="26"/>
    </row>
    <row r="204" ht="15.75" customHeight="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637"/>
      <c r="V204" s="26"/>
      <c r="W204" s="26"/>
      <c r="X204" s="26"/>
      <c r="Y204" s="26"/>
      <c r="Z204" s="26"/>
    </row>
    <row r="205" ht="15.75" customHeight="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637"/>
      <c r="V205" s="26"/>
      <c r="W205" s="26"/>
      <c r="X205" s="26"/>
      <c r="Y205" s="26"/>
      <c r="Z205" s="26"/>
    </row>
    <row r="206" ht="15.75" customHeight="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637"/>
      <c r="V206" s="26"/>
      <c r="W206" s="26"/>
      <c r="X206" s="26"/>
      <c r="Y206" s="26"/>
      <c r="Z206" s="26"/>
    </row>
    <row r="207" ht="15.75" customHeight="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637"/>
      <c r="V207" s="26"/>
      <c r="W207" s="26"/>
      <c r="X207" s="26"/>
      <c r="Y207" s="26"/>
      <c r="Z207" s="26"/>
    </row>
    <row r="208" ht="15.75" customHeight="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637"/>
      <c r="V208" s="26"/>
      <c r="W208" s="26"/>
      <c r="X208" s="26"/>
      <c r="Y208" s="26"/>
      <c r="Z208" s="26"/>
    </row>
    <row r="209" ht="15.75" customHeight="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637"/>
      <c r="V209" s="26"/>
      <c r="W209" s="26"/>
      <c r="X209" s="26"/>
      <c r="Y209" s="26"/>
      <c r="Z209" s="26"/>
    </row>
    <row r="210" ht="15.75" customHeight="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637"/>
      <c r="V210" s="26"/>
      <c r="W210" s="26"/>
      <c r="X210" s="26"/>
      <c r="Y210" s="26"/>
      <c r="Z210" s="26"/>
    </row>
    <row r="211" ht="15.75" customHeight="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637"/>
      <c r="V211" s="26"/>
      <c r="W211" s="26"/>
      <c r="X211" s="26"/>
      <c r="Y211" s="26"/>
      <c r="Z211" s="26"/>
    </row>
    <row r="212" ht="15.75" customHeight="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637"/>
      <c r="V212" s="26"/>
      <c r="W212" s="26"/>
      <c r="X212" s="26"/>
      <c r="Y212" s="26"/>
      <c r="Z212" s="26"/>
    </row>
    <row r="213" ht="15.75" customHeight="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637"/>
      <c r="V213" s="26"/>
      <c r="W213" s="26"/>
      <c r="X213" s="26"/>
      <c r="Y213" s="26"/>
      <c r="Z213" s="26"/>
    </row>
    <row r="214" ht="15.75" customHeight="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637"/>
      <c r="V214" s="26"/>
      <c r="W214" s="26"/>
      <c r="X214" s="26"/>
      <c r="Y214" s="26"/>
      <c r="Z214" s="26"/>
    </row>
    <row r="215" ht="15.75" customHeight="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637"/>
      <c r="V215" s="26"/>
      <c r="W215" s="26"/>
      <c r="X215" s="26"/>
      <c r="Y215" s="26"/>
      <c r="Z215" s="26"/>
    </row>
    <row r="216" ht="15.75" customHeight="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637"/>
      <c r="V216" s="26"/>
      <c r="W216" s="26"/>
      <c r="X216" s="26"/>
      <c r="Y216" s="26"/>
      <c r="Z216" s="26"/>
    </row>
    <row r="217" ht="15.75" customHeight="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637"/>
      <c r="V217" s="26"/>
      <c r="W217" s="26"/>
      <c r="X217" s="26"/>
      <c r="Y217" s="26"/>
      <c r="Z217" s="26"/>
    </row>
    <row r="218" ht="15.75" customHeight="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637"/>
      <c r="V218" s="26"/>
      <c r="W218" s="26"/>
      <c r="X218" s="26"/>
      <c r="Y218" s="26"/>
      <c r="Z218" s="26"/>
    </row>
    <row r="219" ht="15.75" customHeight="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637"/>
      <c r="V219" s="26"/>
      <c r="W219" s="26"/>
      <c r="X219" s="26"/>
      <c r="Y219" s="26"/>
      <c r="Z219" s="26"/>
    </row>
    <row r="220" ht="15.75" customHeight="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637"/>
      <c r="V220" s="26"/>
      <c r="W220" s="26"/>
      <c r="X220" s="26"/>
      <c r="Y220" s="26"/>
      <c r="Z220" s="26"/>
    </row>
    <row r="221" ht="15.75" customHeight="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637"/>
      <c r="V221" s="26"/>
      <c r="W221" s="26"/>
      <c r="X221" s="26"/>
      <c r="Y221" s="26"/>
      <c r="Z221" s="26"/>
    </row>
    <row r="222" ht="15.75" customHeight="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637"/>
      <c r="V222" s="26"/>
      <c r="W222" s="26"/>
      <c r="X222" s="26"/>
      <c r="Y222" s="26"/>
      <c r="Z222" s="26"/>
    </row>
    <row r="223" ht="15.75" customHeight="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637"/>
      <c r="V223" s="26"/>
      <c r="W223" s="26"/>
      <c r="X223" s="26"/>
      <c r="Y223" s="26"/>
      <c r="Z223" s="26"/>
    </row>
    <row r="224" ht="15.75" customHeight="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637"/>
      <c r="V224" s="26"/>
      <c r="W224" s="26"/>
      <c r="X224" s="26"/>
      <c r="Y224" s="26"/>
      <c r="Z224" s="26"/>
    </row>
    <row r="225" ht="15.75" customHeight="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637"/>
      <c r="V225" s="26"/>
      <c r="W225" s="26"/>
      <c r="X225" s="26"/>
      <c r="Y225" s="26"/>
      <c r="Z225" s="26"/>
    </row>
    <row r="226" ht="15.75" customHeight="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637"/>
      <c r="V226" s="26"/>
      <c r="W226" s="26"/>
      <c r="X226" s="26"/>
      <c r="Y226" s="26"/>
      <c r="Z226" s="26"/>
    </row>
    <row r="227" ht="15.75" customHeight="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637"/>
      <c r="V227" s="26"/>
      <c r="W227" s="26"/>
      <c r="X227" s="26"/>
      <c r="Y227" s="26"/>
      <c r="Z227" s="26"/>
    </row>
    <row r="228" ht="15.75" customHeight="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637"/>
      <c r="V228" s="26"/>
      <c r="W228" s="26"/>
      <c r="X228" s="26"/>
      <c r="Y228" s="26"/>
      <c r="Z228" s="26"/>
    </row>
    <row r="229" ht="15.75" customHeight="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637"/>
      <c r="V229" s="26"/>
      <c r="W229" s="26"/>
      <c r="X229" s="26"/>
      <c r="Y229" s="26"/>
      <c r="Z229" s="26"/>
    </row>
    <row r="230" ht="15.75" customHeight="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637"/>
      <c r="V230" s="26"/>
      <c r="W230" s="26"/>
      <c r="X230" s="26"/>
      <c r="Y230" s="26"/>
      <c r="Z230" s="26"/>
    </row>
    <row r="231" ht="15.75" customHeight="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637"/>
      <c r="V231" s="26"/>
      <c r="W231" s="26"/>
      <c r="X231" s="26"/>
      <c r="Y231" s="26"/>
      <c r="Z231" s="26"/>
    </row>
    <row r="232" ht="15.75" customHeight="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637"/>
      <c r="V232" s="26"/>
      <c r="W232" s="26"/>
      <c r="X232" s="26"/>
      <c r="Y232" s="26"/>
      <c r="Z232" s="26"/>
    </row>
    <row r="233" ht="15.75" customHeight="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637"/>
      <c r="V233" s="26"/>
      <c r="W233" s="26"/>
      <c r="X233" s="26"/>
      <c r="Y233" s="26"/>
      <c r="Z233" s="26"/>
    </row>
    <row r="234" ht="15.75" customHeight="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637"/>
      <c r="V234" s="26"/>
      <c r="W234" s="26"/>
      <c r="X234" s="26"/>
      <c r="Y234" s="26"/>
      <c r="Z234" s="26"/>
    </row>
    <row r="235" ht="15.75" customHeight="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637"/>
      <c r="V235" s="26"/>
      <c r="W235" s="26"/>
      <c r="X235" s="26"/>
      <c r="Y235" s="26"/>
      <c r="Z235" s="26"/>
    </row>
    <row r="236" ht="15.75" customHeight="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637"/>
      <c r="V236" s="26"/>
      <c r="W236" s="26"/>
      <c r="X236" s="26"/>
      <c r="Y236" s="26"/>
      <c r="Z236" s="26"/>
    </row>
    <row r="237" ht="15.75" customHeight="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637"/>
      <c r="V237" s="26"/>
      <c r="W237" s="26"/>
      <c r="X237" s="26"/>
      <c r="Y237" s="26"/>
      <c r="Z237" s="26"/>
    </row>
    <row r="238" ht="15.75" customHeight="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637"/>
      <c r="V238" s="26"/>
      <c r="W238" s="26"/>
      <c r="X238" s="26"/>
      <c r="Y238" s="26"/>
      <c r="Z238" s="26"/>
    </row>
    <row r="239" ht="15.75" customHeight="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637"/>
      <c r="V239" s="26"/>
      <c r="W239" s="26"/>
      <c r="X239" s="26"/>
      <c r="Y239" s="26"/>
      <c r="Z239" s="26"/>
    </row>
    <row r="240" ht="15.75" customHeight="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637"/>
      <c r="V240" s="26"/>
      <c r="W240" s="26"/>
      <c r="X240" s="26"/>
      <c r="Y240" s="26"/>
      <c r="Z240" s="26"/>
    </row>
    <row r="241" ht="15.75" customHeight="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637"/>
      <c r="V241" s="26"/>
      <c r="W241" s="26"/>
      <c r="X241" s="26"/>
      <c r="Y241" s="26"/>
      <c r="Z241" s="26"/>
    </row>
    <row r="242" ht="15.75" customHeight="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637"/>
      <c r="V242" s="26"/>
      <c r="W242" s="26"/>
      <c r="X242" s="26"/>
      <c r="Y242" s="26"/>
      <c r="Z242" s="26"/>
    </row>
    <row r="243" ht="15.75" customHeight="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637"/>
      <c r="V243" s="26"/>
      <c r="W243" s="26"/>
      <c r="X243" s="26"/>
      <c r="Y243" s="26"/>
      <c r="Z243" s="26"/>
    </row>
    <row r="244" ht="15.75" customHeight="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637"/>
      <c r="V244" s="26"/>
      <c r="W244" s="26"/>
      <c r="X244" s="26"/>
      <c r="Y244" s="26"/>
      <c r="Z244" s="26"/>
    </row>
    <row r="245" ht="15.75" customHeight="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637"/>
      <c r="V245" s="26"/>
      <c r="W245" s="26"/>
      <c r="X245" s="26"/>
      <c r="Y245" s="26"/>
      <c r="Z245" s="26"/>
    </row>
    <row r="246" ht="15.75" customHeight="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637"/>
      <c r="V246" s="26"/>
      <c r="W246" s="26"/>
      <c r="X246" s="26"/>
      <c r="Y246" s="26"/>
      <c r="Z246" s="26"/>
    </row>
    <row r="247" ht="15.75" customHeight="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637"/>
      <c r="V247" s="26"/>
      <c r="W247" s="26"/>
      <c r="X247" s="26"/>
      <c r="Y247" s="26"/>
      <c r="Z247" s="26"/>
    </row>
    <row r="248" ht="15.75" customHeight="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637"/>
      <c r="V248" s="26"/>
      <c r="W248" s="26"/>
      <c r="X248" s="26"/>
      <c r="Y248" s="26"/>
      <c r="Z248" s="26"/>
    </row>
    <row r="249" ht="15.75" customHeight="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637"/>
      <c r="V249" s="26"/>
      <c r="W249" s="26"/>
      <c r="X249" s="26"/>
      <c r="Y249" s="26"/>
      <c r="Z249" s="26"/>
    </row>
    <row r="250" ht="15.75" customHeight="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637"/>
      <c r="V250" s="26"/>
      <c r="W250" s="26"/>
      <c r="X250" s="26"/>
      <c r="Y250" s="26"/>
      <c r="Z250" s="26"/>
    </row>
    <row r="251" ht="15.75" customHeight="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637"/>
      <c r="V251" s="26"/>
      <c r="W251" s="26"/>
      <c r="X251" s="26"/>
      <c r="Y251" s="26"/>
      <c r="Z251" s="26"/>
    </row>
    <row r="252" ht="15.75" customHeight="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637"/>
      <c r="V252" s="26"/>
      <c r="W252" s="26"/>
      <c r="X252" s="26"/>
      <c r="Y252" s="26"/>
      <c r="Z252" s="26"/>
    </row>
    <row r="253" ht="15.75" customHeight="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637"/>
      <c r="V253" s="26"/>
      <c r="W253" s="26"/>
      <c r="X253" s="26"/>
      <c r="Y253" s="26"/>
      <c r="Z253" s="26"/>
    </row>
    <row r="254" ht="15.75" customHeight="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637"/>
      <c r="V254" s="26"/>
      <c r="W254" s="26"/>
      <c r="X254" s="26"/>
      <c r="Y254" s="26"/>
      <c r="Z254" s="26"/>
    </row>
    <row r="255" ht="15.75" customHeight="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637"/>
      <c r="V255" s="26"/>
      <c r="W255" s="26"/>
      <c r="X255" s="26"/>
      <c r="Y255" s="26"/>
      <c r="Z255" s="26"/>
    </row>
    <row r="256" ht="15.75" customHeight="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637"/>
      <c r="V256" s="26"/>
      <c r="W256" s="26"/>
      <c r="X256" s="26"/>
      <c r="Y256" s="26"/>
      <c r="Z256" s="26"/>
    </row>
    <row r="257" ht="15.75" customHeight="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637"/>
      <c r="V257" s="26"/>
      <c r="W257" s="26"/>
      <c r="X257" s="26"/>
      <c r="Y257" s="26"/>
      <c r="Z257" s="26"/>
    </row>
    <row r="258" ht="15.75" customHeight="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637"/>
      <c r="V258" s="26"/>
      <c r="W258" s="26"/>
      <c r="X258" s="26"/>
      <c r="Y258" s="26"/>
      <c r="Z258" s="26"/>
    </row>
    <row r="259" ht="15.75" customHeight="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637"/>
      <c r="V259" s="26"/>
      <c r="W259" s="26"/>
      <c r="X259" s="26"/>
      <c r="Y259" s="26"/>
      <c r="Z259" s="26"/>
    </row>
    <row r="260" ht="15.75" customHeight="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637"/>
      <c r="V260" s="26"/>
      <c r="W260" s="26"/>
      <c r="X260" s="26"/>
      <c r="Y260" s="26"/>
      <c r="Z260" s="26"/>
    </row>
    <row r="261" ht="15.75" customHeight="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637"/>
      <c r="V261" s="26"/>
      <c r="W261" s="26"/>
      <c r="X261" s="26"/>
      <c r="Y261" s="26"/>
      <c r="Z261" s="26"/>
    </row>
    <row r="262" ht="15.75" customHeight="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637"/>
      <c r="V262" s="26"/>
      <c r="W262" s="26"/>
      <c r="X262" s="26"/>
      <c r="Y262" s="26"/>
      <c r="Z262" s="26"/>
    </row>
    <row r="263" ht="15.75" customHeight="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637"/>
      <c r="V263" s="26"/>
      <c r="W263" s="26"/>
      <c r="X263" s="26"/>
      <c r="Y263" s="26"/>
      <c r="Z263" s="26"/>
    </row>
    <row r="264" ht="15.75" customHeight="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637"/>
      <c r="V264" s="26"/>
      <c r="W264" s="26"/>
      <c r="X264" s="26"/>
      <c r="Y264" s="26"/>
      <c r="Z264" s="26"/>
    </row>
    <row r="265" ht="15.75" customHeight="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637"/>
      <c r="V265" s="26"/>
      <c r="W265" s="26"/>
      <c r="X265" s="26"/>
      <c r="Y265" s="26"/>
      <c r="Z265" s="26"/>
    </row>
    <row r="266" ht="15.75" customHeight="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637"/>
      <c r="V266" s="26"/>
      <c r="W266" s="26"/>
      <c r="X266" s="26"/>
      <c r="Y266" s="26"/>
      <c r="Z266" s="26"/>
    </row>
    <row r="267" ht="15.75" customHeight="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637"/>
      <c r="V267" s="26"/>
      <c r="W267" s="26"/>
      <c r="X267" s="26"/>
      <c r="Y267" s="26"/>
      <c r="Z267" s="26"/>
    </row>
    <row r="268" ht="15.75" customHeight="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637"/>
      <c r="V268" s="26"/>
      <c r="W268" s="26"/>
      <c r="X268" s="26"/>
      <c r="Y268" s="26"/>
      <c r="Z268" s="26"/>
    </row>
    <row r="269" ht="15.75" customHeight="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637"/>
      <c r="V269" s="26"/>
      <c r="W269" s="26"/>
      <c r="X269" s="26"/>
      <c r="Y269" s="26"/>
      <c r="Z269" s="26"/>
    </row>
    <row r="270" ht="15.75" customHeight="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637"/>
      <c r="V270" s="26"/>
      <c r="W270" s="26"/>
      <c r="X270" s="26"/>
      <c r="Y270" s="26"/>
      <c r="Z270" s="26"/>
    </row>
    <row r="271" ht="15.75" customHeight="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637"/>
      <c r="V271" s="26"/>
      <c r="W271" s="26"/>
      <c r="X271" s="26"/>
      <c r="Y271" s="26"/>
      <c r="Z271" s="26"/>
    </row>
    <row r="272" ht="15.75" customHeight="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637"/>
      <c r="V272" s="26"/>
      <c r="W272" s="26"/>
      <c r="X272" s="26"/>
      <c r="Y272" s="26"/>
      <c r="Z272" s="26"/>
    </row>
    <row r="273" ht="15.75" customHeight="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637"/>
      <c r="V273" s="26"/>
      <c r="W273" s="26"/>
      <c r="X273" s="26"/>
      <c r="Y273" s="26"/>
      <c r="Z273" s="26"/>
    </row>
    <row r="274" ht="15.75" customHeight="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637"/>
      <c r="V274" s="26"/>
      <c r="W274" s="26"/>
      <c r="X274" s="26"/>
      <c r="Y274" s="26"/>
      <c r="Z274" s="26"/>
    </row>
    <row r="275" ht="15.75" customHeight="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637"/>
      <c r="V275" s="26"/>
      <c r="W275" s="26"/>
      <c r="X275" s="26"/>
      <c r="Y275" s="26"/>
      <c r="Z275" s="26"/>
    </row>
    <row r="276" ht="15.75" customHeight="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637"/>
      <c r="V276" s="26"/>
      <c r="W276" s="26"/>
      <c r="X276" s="26"/>
      <c r="Y276" s="26"/>
      <c r="Z276" s="26"/>
    </row>
    <row r="277" ht="15.75" customHeight="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637"/>
      <c r="V277" s="26"/>
      <c r="W277" s="26"/>
      <c r="X277" s="26"/>
      <c r="Y277" s="26"/>
      <c r="Z277" s="26"/>
    </row>
    <row r="278" ht="15.75" customHeight="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637"/>
      <c r="V278" s="26"/>
      <c r="W278" s="26"/>
      <c r="X278" s="26"/>
      <c r="Y278" s="26"/>
      <c r="Z278" s="26"/>
    </row>
    <row r="279" ht="15.75" customHeight="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637"/>
      <c r="V279" s="26"/>
      <c r="W279" s="26"/>
      <c r="X279" s="26"/>
      <c r="Y279" s="26"/>
      <c r="Z279" s="26"/>
    </row>
    <row r="280" ht="15.75" customHeight="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637"/>
      <c r="V280" s="26"/>
      <c r="W280" s="26"/>
      <c r="X280" s="26"/>
      <c r="Y280" s="26"/>
      <c r="Z280" s="26"/>
    </row>
    <row r="281" ht="15.75" customHeight="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637"/>
      <c r="V281" s="26"/>
      <c r="W281" s="26"/>
      <c r="X281" s="26"/>
      <c r="Y281" s="26"/>
      <c r="Z281" s="26"/>
    </row>
    <row r="282" ht="15.75" customHeight="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637"/>
      <c r="V282" s="26"/>
      <c r="W282" s="26"/>
      <c r="X282" s="26"/>
      <c r="Y282" s="26"/>
      <c r="Z282" s="26"/>
    </row>
    <row r="283" ht="15.75" customHeight="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637"/>
      <c r="V283" s="26"/>
      <c r="W283" s="26"/>
      <c r="X283" s="26"/>
      <c r="Y283" s="26"/>
      <c r="Z283" s="26"/>
    </row>
    <row r="284" ht="15.75" customHeight="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637"/>
      <c r="V284" s="26"/>
      <c r="W284" s="26"/>
      <c r="X284" s="26"/>
      <c r="Y284" s="26"/>
      <c r="Z284" s="26"/>
    </row>
    <row r="285" ht="15.75" customHeight="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637"/>
      <c r="V285" s="26"/>
      <c r="W285" s="26"/>
      <c r="X285" s="26"/>
      <c r="Y285" s="26"/>
      <c r="Z285" s="26"/>
    </row>
    <row r="286" ht="15.75" customHeight="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637"/>
      <c r="V286" s="26"/>
      <c r="W286" s="26"/>
      <c r="X286" s="26"/>
      <c r="Y286" s="26"/>
      <c r="Z286" s="26"/>
    </row>
    <row r="287" ht="15.75" customHeight="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637"/>
      <c r="V287" s="26"/>
      <c r="W287" s="26"/>
      <c r="X287" s="26"/>
      <c r="Y287" s="26"/>
      <c r="Z287" s="26"/>
    </row>
    <row r="288" ht="15.75" customHeight="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637"/>
      <c r="V288" s="26"/>
      <c r="W288" s="26"/>
      <c r="X288" s="26"/>
      <c r="Y288" s="26"/>
      <c r="Z288" s="26"/>
    </row>
    <row r="289" ht="15.75" customHeight="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637"/>
      <c r="V289" s="26"/>
      <c r="W289" s="26"/>
      <c r="X289" s="26"/>
      <c r="Y289" s="26"/>
      <c r="Z289" s="26"/>
    </row>
    <row r="290" ht="15.75" customHeight="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637"/>
      <c r="V290" s="26"/>
      <c r="W290" s="26"/>
      <c r="X290" s="26"/>
      <c r="Y290" s="26"/>
      <c r="Z290" s="26"/>
    </row>
    <row r="291" ht="15.75" customHeight="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637"/>
      <c r="V291" s="26"/>
      <c r="W291" s="26"/>
      <c r="X291" s="26"/>
      <c r="Y291" s="26"/>
      <c r="Z291" s="26"/>
    </row>
    <row r="292" ht="15.75" customHeight="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637"/>
      <c r="V292" s="26"/>
      <c r="W292" s="26"/>
      <c r="X292" s="26"/>
      <c r="Y292" s="26"/>
      <c r="Z292" s="26"/>
    </row>
    <row r="293" ht="15.75" customHeight="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637"/>
      <c r="V293" s="26"/>
      <c r="W293" s="26"/>
      <c r="X293" s="26"/>
      <c r="Y293" s="26"/>
      <c r="Z293" s="26"/>
    </row>
    <row r="294" ht="15.75" customHeight="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637"/>
      <c r="V294" s="26"/>
      <c r="W294" s="26"/>
      <c r="X294" s="26"/>
      <c r="Y294" s="26"/>
      <c r="Z294" s="26"/>
    </row>
    <row r="295" ht="15.75" customHeight="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637"/>
      <c r="V295" s="26"/>
      <c r="W295" s="26"/>
      <c r="X295" s="26"/>
      <c r="Y295" s="26"/>
      <c r="Z295" s="26"/>
    </row>
    <row r="296" ht="15.75" customHeight="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637"/>
      <c r="V296" s="26"/>
      <c r="W296" s="26"/>
      <c r="X296" s="26"/>
      <c r="Y296" s="26"/>
      <c r="Z296" s="26"/>
    </row>
    <row r="297" ht="15.75" customHeight="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637"/>
      <c r="V297" s="26"/>
      <c r="W297" s="26"/>
      <c r="X297" s="26"/>
      <c r="Y297" s="26"/>
      <c r="Z297" s="26"/>
    </row>
    <row r="298" ht="15.75" customHeight="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637"/>
      <c r="V298" s="26"/>
      <c r="W298" s="26"/>
      <c r="X298" s="26"/>
      <c r="Y298" s="26"/>
      <c r="Z298" s="26"/>
    </row>
    <row r="299" ht="15.75" customHeight="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637"/>
      <c r="V299" s="26"/>
      <c r="W299" s="26"/>
      <c r="X299" s="26"/>
      <c r="Y299" s="26"/>
      <c r="Z299" s="26"/>
    </row>
    <row r="300" ht="15.75" customHeight="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637"/>
      <c r="V300" s="26"/>
      <c r="W300" s="26"/>
      <c r="X300" s="26"/>
      <c r="Y300" s="26"/>
      <c r="Z300" s="26"/>
    </row>
    <row r="301" ht="15.75" customHeight="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637"/>
      <c r="V301" s="26"/>
      <c r="W301" s="26"/>
      <c r="X301" s="26"/>
      <c r="Y301" s="26"/>
      <c r="Z301" s="26"/>
    </row>
    <row r="302" ht="15.75" customHeight="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637"/>
      <c r="V302" s="26"/>
      <c r="W302" s="26"/>
      <c r="X302" s="26"/>
      <c r="Y302" s="26"/>
      <c r="Z302" s="26"/>
    </row>
    <row r="303" ht="15.75" customHeight="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637"/>
      <c r="V303" s="26"/>
      <c r="W303" s="26"/>
      <c r="X303" s="26"/>
      <c r="Y303" s="26"/>
      <c r="Z303" s="26"/>
    </row>
    <row r="304" ht="15.75" customHeight="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637"/>
      <c r="V304" s="26"/>
      <c r="W304" s="26"/>
      <c r="X304" s="26"/>
      <c r="Y304" s="26"/>
      <c r="Z304" s="26"/>
    </row>
    <row r="305" ht="15.75" customHeight="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637"/>
      <c r="V305" s="26"/>
      <c r="W305" s="26"/>
      <c r="X305" s="26"/>
      <c r="Y305" s="26"/>
      <c r="Z305" s="26"/>
    </row>
    <row r="306" ht="15.75" customHeight="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637"/>
      <c r="V306" s="26"/>
      <c r="W306" s="26"/>
      <c r="X306" s="26"/>
      <c r="Y306" s="26"/>
      <c r="Z306" s="26"/>
    </row>
    <row r="307" ht="15.75" customHeight="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637"/>
      <c r="V307" s="26"/>
      <c r="W307" s="26"/>
      <c r="X307" s="26"/>
      <c r="Y307" s="26"/>
      <c r="Z307" s="26"/>
    </row>
    <row r="308" ht="15.75" customHeight="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637"/>
      <c r="V308" s="26"/>
      <c r="W308" s="26"/>
      <c r="X308" s="26"/>
      <c r="Y308" s="26"/>
      <c r="Z308" s="26"/>
    </row>
    <row r="309" ht="15.75" customHeight="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637"/>
      <c r="V309" s="26"/>
      <c r="W309" s="26"/>
      <c r="X309" s="26"/>
      <c r="Y309" s="26"/>
      <c r="Z309" s="26"/>
    </row>
    <row r="310" ht="15.75" customHeight="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637"/>
      <c r="V310" s="26"/>
      <c r="W310" s="26"/>
      <c r="X310" s="26"/>
      <c r="Y310" s="26"/>
      <c r="Z310" s="26"/>
    </row>
    <row r="311" ht="15.75" customHeight="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637"/>
      <c r="V311" s="26"/>
      <c r="W311" s="26"/>
      <c r="X311" s="26"/>
      <c r="Y311" s="26"/>
      <c r="Z311" s="26"/>
    </row>
    <row r="312" ht="15.75" customHeight="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637"/>
      <c r="V312" s="26"/>
      <c r="W312" s="26"/>
      <c r="X312" s="26"/>
      <c r="Y312" s="26"/>
      <c r="Z312" s="26"/>
    </row>
    <row r="313" ht="15.75" customHeight="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637"/>
      <c r="V313" s="26"/>
      <c r="W313" s="26"/>
      <c r="X313" s="26"/>
      <c r="Y313" s="26"/>
      <c r="Z313" s="26"/>
    </row>
    <row r="314" ht="15.75" customHeight="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637"/>
      <c r="V314" s="26"/>
      <c r="W314" s="26"/>
      <c r="X314" s="26"/>
      <c r="Y314" s="26"/>
      <c r="Z314" s="26"/>
    </row>
    <row r="315" ht="15.75" customHeight="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637"/>
      <c r="V315" s="26"/>
      <c r="W315" s="26"/>
      <c r="X315" s="26"/>
      <c r="Y315" s="26"/>
      <c r="Z315" s="26"/>
    </row>
    <row r="316" ht="15.75" customHeight="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637"/>
      <c r="V316" s="26"/>
      <c r="W316" s="26"/>
      <c r="X316" s="26"/>
      <c r="Y316" s="26"/>
      <c r="Z316" s="26"/>
    </row>
    <row r="317" ht="15.75" customHeight="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637"/>
      <c r="V317" s="26"/>
      <c r="W317" s="26"/>
      <c r="X317" s="26"/>
      <c r="Y317" s="26"/>
      <c r="Z317" s="26"/>
    </row>
    <row r="318" ht="15.75" customHeight="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637"/>
      <c r="V318" s="26"/>
      <c r="W318" s="26"/>
      <c r="X318" s="26"/>
      <c r="Y318" s="26"/>
      <c r="Z318" s="26"/>
    </row>
    <row r="319" ht="15.75" customHeight="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637"/>
      <c r="V319" s="26"/>
      <c r="W319" s="26"/>
      <c r="X319" s="26"/>
      <c r="Y319" s="26"/>
      <c r="Z319" s="26"/>
    </row>
    <row r="320" ht="15.75" customHeight="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637"/>
      <c r="V320" s="26"/>
      <c r="W320" s="26"/>
      <c r="X320" s="26"/>
      <c r="Y320" s="26"/>
      <c r="Z320" s="26"/>
    </row>
    <row r="321" ht="15.75" customHeight="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637"/>
      <c r="V321" s="26"/>
      <c r="W321" s="26"/>
      <c r="X321" s="26"/>
      <c r="Y321" s="26"/>
      <c r="Z321" s="26"/>
    </row>
    <row r="322" ht="15.75" customHeight="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637"/>
      <c r="V322" s="26"/>
      <c r="W322" s="26"/>
      <c r="X322" s="26"/>
      <c r="Y322" s="26"/>
      <c r="Z322" s="26"/>
    </row>
    <row r="323" ht="15.75" customHeight="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637"/>
      <c r="V323" s="26"/>
      <c r="W323" s="26"/>
      <c r="X323" s="26"/>
      <c r="Y323" s="26"/>
      <c r="Z323" s="26"/>
    </row>
    <row r="324" ht="15.75" customHeight="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637"/>
      <c r="V324" s="26"/>
      <c r="W324" s="26"/>
      <c r="X324" s="26"/>
      <c r="Y324" s="26"/>
      <c r="Z324" s="26"/>
    </row>
    <row r="325" ht="15.75" customHeight="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637"/>
      <c r="V325" s="26"/>
      <c r="W325" s="26"/>
      <c r="X325" s="26"/>
      <c r="Y325" s="26"/>
      <c r="Z325" s="26"/>
    </row>
    <row r="326" ht="15.75" customHeight="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637"/>
      <c r="V326" s="26"/>
      <c r="W326" s="26"/>
      <c r="X326" s="26"/>
      <c r="Y326" s="26"/>
      <c r="Z326" s="26"/>
    </row>
    <row r="327" ht="15.75" customHeight="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637"/>
      <c r="V327" s="26"/>
      <c r="W327" s="26"/>
      <c r="X327" s="26"/>
      <c r="Y327" s="26"/>
      <c r="Z327" s="26"/>
    </row>
    <row r="328" ht="15.75" customHeight="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637"/>
      <c r="V328" s="26"/>
      <c r="W328" s="26"/>
      <c r="X328" s="26"/>
      <c r="Y328" s="26"/>
      <c r="Z328" s="26"/>
    </row>
    <row r="329" ht="15.75" customHeight="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637"/>
      <c r="V329" s="26"/>
      <c r="W329" s="26"/>
      <c r="X329" s="26"/>
      <c r="Y329" s="26"/>
      <c r="Z329" s="26"/>
    </row>
    <row r="330" ht="15.75" customHeight="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637"/>
      <c r="V330" s="26"/>
      <c r="W330" s="26"/>
      <c r="X330" s="26"/>
      <c r="Y330" s="26"/>
      <c r="Z330" s="26"/>
    </row>
    <row r="331" ht="15.75" customHeight="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637"/>
      <c r="V331" s="26"/>
      <c r="W331" s="26"/>
      <c r="X331" s="26"/>
      <c r="Y331" s="26"/>
      <c r="Z331" s="26"/>
    </row>
    <row r="332" ht="15.75" customHeight="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637"/>
      <c r="V332" s="26"/>
      <c r="W332" s="26"/>
      <c r="X332" s="26"/>
      <c r="Y332" s="26"/>
      <c r="Z332" s="26"/>
    </row>
    <row r="333" ht="15.75" customHeight="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637"/>
      <c r="V333" s="26"/>
      <c r="W333" s="26"/>
      <c r="X333" s="26"/>
      <c r="Y333" s="26"/>
      <c r="Z333" s="26"/>
    </row>
    <row r="334" ht="15.75" customHeight="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637"/>
      <c r="V334" s="26"/>
      <c r="W334" s="26"/>
      <c r="X334" s="26"/>
      <c r="Y334" s="26"/>
      <c r="Z334" s="26"/>
    </row>
    <row r="335" ht="15.75" customHeight="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637"/>
      <c r="V335" s="26"/>
      <c r="W335" s="26"/>
      <c r="X335" s="26"/>
      <c r="Y335" s="26"/>
      <c r="Z335" s="26"/>
    </row>
    <row r="336" ht="15.75" customHeight="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637"/>
      <c r="V336" s="26"/>
      <c r="W336" s="26"/>
      <c r="X336" s="26"/>
      <c r="Y336" s="26"/>
      <c r="Z336" s="26"/>
    </row>
    <row r="337" ht="15.75" customHeight="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637"/>
      <c r="V337" s="26"/>
      <c r="W337" s="26"/>
      <c r="X337" s="26"/>
      <c r="Y337" s="26"/>
      <c r="Z337" s="26"/>
    </row>
    <row r="338" ht="15.75" customHeight="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637"/>
      <c r="V338" s="26"/>
      <c r="W338" s="26"/>
      <c r="X338" s="26"/>
      <c r="Y338" s="26"/>
      <c r="Z338" s="26"/>
    </row>
    <row r="339" ht="15.75" customHeight="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637"/>
      <c r="V339" s="26"/>
      <c r="W339" s="26"/>
      <c r="X339" s="26"/>
      <c r="Y339" s="26"/>
      <c r="Z339" s="26"/>
    </row>
    <row r="340" ht="15.75" customHeight="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637"/>
      <c r="V340" s="26"/>
      <c r="W340" s="26"/>
      <c r="X340" s="26"/>
      <c r="Y340" s="26"/>
      <c r="Z340" s="26"/>
    </row>
    <row r="341" ht="15.75" customHeight="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637"/>
      <c r="V341" s="26"/>
      <c r="W341" s="26"/>
      <c r="X341" s="26"/>
      <c r="Y341" s="26"/>
      <c r="Z341" s="26"/>
    </row>
    <row r="342" ht="15.75" customHeight="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637"/>
      <c r="V342" s="26"/>
      <c r="W342" s="26"/>
      <c r="X342" s="26"/>
      <c r="Y342" s="26"/>
      <c r="Z342" s="26"/>
    </row>
    <row r="343" ht="15.75" customHeight="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637"/>
      <c r="V343" s="26"/>
      <c r="W343" s="26"/>
      <c r="X343" s="26"/>
      <c r="Y343" s="26"/>
      <c r="Z343" s="26"/>
    </row>
    <row r="344" ht="15.75" customHeight="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637"/>
      <c r="V344" s="26"/>
      <c r="W344" s="26"/>
      <c r="X344" s="26"/>
      <c r="Y344" s="26"/>
      <c r="Z344" s="26"/>
    </row>
    <row r="345" ht="15.75" customHeight="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637"/>
      <c r="V345" s="26"/>
      <c r="W345" s="26"/>
      <c r="X345" s="26"/>
      <c r="Y345" s="26"/>
      <c r="Z345" s="26"/>
    </row>
    <row r="346" ht="15.75" customHeight="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637"/>
      <c r="V346" s="26"/>
      <c r="W346" s="26"/>
      <c r="X346" s="26"/>
      <c r="Y346" s="26"/>
      <c r="Z346" s="26"/>
    </row>
    <row r="347" ht="15.75" customHeight="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637"/>
      <c r="V347" s="26"/>
      <c r="W347" s="26"/>
      <c r="X347" s="26"/>
      <c r="Y347" s="26"/>
      <c r="Z347" s="26"/>
    </row>
    <row r="348" ht="15.75" customHeight="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637"/>
      <c r="V348" s="26"/>
      <c r="W348" s="26"/>
      <c r="X348" s="26"/>
      <c r="Y348" s="26"/>
      <c r="Z348" s="26"/>
    </row>
    <row r="349" ht="15.75" customHeight="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637"/>
      <c r="V349" s="26"/>
      <c r="W349" s="26"/>
      <c r="X349" s="26"/>
      <c r="Y349" s="26"/>
      <c r="Z349" s="26"/>
    </row>
    <row r="350" ht="15.75" customHeight="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637"/>
      <c r="V350" s="26"/>
      <c r="W350" s="26"/>
      <c r="X350" s="26"/>
      <c r="Y350" s="26"/>
      <c r="Z350" s="26"/>
    </row>
    <row r="351" ht="15.75" customHeight="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637"/>
      <c r="V351" s="26"/>
      <c r="W351" s="26"/>
      <c r="X351" s="26"/>
      <c r="Y351" s="26"/>
      <c r="Z351" s="26"/>
    </row>
    <row r="352" ht="15.75" customHeight="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637"/>
      <c r="V352" s="26"/>
      <c r="W352" s="26"/>
      <c r="X352" s="26"/>
      <c r="Y352" s="26"/>
      <c r="Z352" s="26"/>
    </row>
    <row r="353" ht="15.75" customHeight="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637"/>
      <c r="V353" s="26"/>
      <c r="W353" s="26"/>
      <c r="X353" s="26"/>
      <c r="Y353" s="26"/>
      <c r="Z353" s="26"/>
    </row>
    <row r="354" ht="15.75" customHeight="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637"/>
      <c r="V354" s="26"/>
      <c r="W354" s="26"/>
      <c r="X354" s="26"/>
      <c r="Y354" s="26"/>
      <c r="Z354" s="26"/>
    </row>
    <row r="355" ht="15.75" customHeight="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637"/>
      <c r="V355" s="26"/>
      <c r="W355" s="26"/>
      <c r="X355" s="26"/>
      <c r="Y355" s="26"/>
      <c r="Z355" s="26"/>
    </row>
    <row r="356" ht="15.75" customHeight="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637"/>
      <c r="V356" s="26"/>
      <c r="W356" s="26"/>
      <c r="X356" s="26"/>
      <c r="Y356" s="26"/>
      <c r="Z356" s="26"/>
    </row>
    <row r="357" ht="15.75" customHeight="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637"/>
      <c r="V357" s="26"/>
      <c r="W357" s="26"/>
      <c r="X357" s="26"/>
      <c r="Y357" s="26"/>
      <c r="Z357" s="26"/>
    </row>
    <row r="358" ht="15.75" customHeight="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637"/>
      <c r="V358" s="26"/>
      <c r="W358" s="26"/>
      <c r="X358" s="26"/>
      <c r="Y358" s="26"/>
      <c r="Z358" s="26"/>
    </row>
    <row r="359" ht="15.75" customHeight="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637"/>
      <c r="V359" s="26"/>
      <c r="W359" s="26"/>
      <c r="X359" s="26"/>
      <c r="Y359" s="26"/>
      <c r="Z359" s="26"/>
    </row>
    <row r="360" ht="15.75" customHeight="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637"/>
      <c r="V360" s="26"/>
      <c r="W360" s="26"/>
      <c r="X360" s="26"/>
      <c r="Y360" s="26"/>
      <c r="Z360" s="26"/>
    </row>
    <row r="361" ht="15.75" customHeight="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637"/>
      <c r="V361" s="26"/>
      <c r="W361" s="26"/>
      <c r="X361" s="26"/>
      <c r="Y361" s="26"/>
      <c r="Z361" s="26"/>
    </row>
    <row r="362" ht="15.75" customHeight="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637"/>
      <c r="V362" s="26"/>
      <c r="W362" s="26"/>
      <c r="X362" s="26"/>
      <c r="Y362" s="26"/>
      <c r="Z362" s="26"/>
    </row>
    <row r="363" ht="15.75" customHeight="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637"/>
      <c r="V363" s="26"/>
      <c r="W363" s="26"/>
      <c r="X363" s="26"/>
      <c r="Y363" s="26"/>
      <c r="Z363" s="26"/>
    </row>
    <row r="364" ht="15.75" customHeight="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637"/>
      <c r="V364" s="26"/>
      <c r="W364" s="26"/>
      <c r="X364" s="26"/>
      <c r="Y364" s="26"/>
      <c r="Z364" s="26"/>
    </row>
    <row r="365" ht="15.75" customHeight="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637"/>
      <c r="V365" s="26"/>
      <c r="W365" s="26"/>
      <c r="X365" s="26"/>
      <c r="Y365" s="26"/>
      <c r="Z365" s="26"/>
    </row>
    <row r="366" ht="15.75" customHeight="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637"/>
      <c r="V366" s="26"/>
      <c r="W366" s="26"/>
      <c r="X366" s="26"/>
      <c r="Y366" s="26"/>
      <c r="Z366" s="26"/>
    </row>
    <row r="367" ht="15.75" customHeight="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637"/>
      <c r="V367" s="26"/>
      <c r="W367" s="26"/>
      <c r="X367" s="26"/>
      <c r="Y367" s="26"/>
      <c r="Z367" s="26"/>
    </row>
    <row r="368" ht="15.75" customHeight="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637"/>
      <c r="V368" s="26"/>
      <c r="W368" s="26"/>
      <c r="X368" s="26"/>
      <c r="Y368" s="26"/>
      <c r="Z368" s="26"/>
    </row>
    <row r="369" ht="15.75" customHeight="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637"/>
      <c r="V369" s="26"/>
      <c r="W369" s="26"/>
      <c r="X369" s="26"/>
      <c r="Y369" s="26"/>
      <c r="Z369" s="26"/>
    </row>
    <row r="370" ht="15.75" customHeight="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637"/>
      <c r="V370" s="26"/>
      <c r="W370" s="26"/>
      <c r="X370" s="26"/>
      <c r="Y370" s="26"/>
      <c r="Z370" s="26"/>
    </row>
    <row r="371" ht="15.75" customHeight="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637"/>
      <c r="V371" s="26"/>
      <c r="W371" s="26"/>
      <c r="X371" s="26"/>
      <c r="Y371" s="26"/>
      <c r="Z371" s="26"/>
    </row>
    <row r="372" ht="15.75" customHeight="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637"/>
      <c r="V372" s="26"/>
      <c r="W372" s="26"/>
      <c r="X372" s="26"/>
      <c r="Y372" s="26"/>
      <c r="Z372" s="26"/>
    </row>
    <row r="373" ht="15.75" customHeight="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637"/>
      <c r="V373" s="26"/>
      <c r="W373" s="26"/>
      <c r="X373" s="26"/>
      <c r="Y373" s="26"/>
      <c r="Z373" s="26"/>
    </row>
    <row r="374" ht="15.75" customHeight="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637"/>
      <c r="V374" s="26"/>
      <c r="W374" s="26"/>
      <c r="X374" s="26"/>
      <c r="Y374" s="26"/>
      <c r="Z374" s="26"/>
    </row>
    <row r="375" ht="15.75" customHeight="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637"/>
      <c r="V375" s="26"/>
      <c r="W375" s="26"/>
      <c r="X375" s="26"/>
      <c r="Y375" s="26"/>
      <c r="Z375" s="26"/>
    </row>
    <row r="376" ht="15.75" customHeight="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637"/>
      <c r="V376" s="26"/>
      <c r="W376" s="26"/>
      <c r="X376" s="26"/>
      <c r="Y376" s="26"/>
      <c r="Z376" s="26"/>
    </row>
    <row r="377" ht="15.75" customHeight="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637"/>
      <c r="V377" s="26"/>
      <c r="W377" s="26"/>
      <c r="X377" s="26"/>
      <c r="Y377" s="26"/>
      <c r="Z377" s="26"/>
    </row>
    <row r="378" ht="15.75" customHeight="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637"/>
      <c r="V378" s="26"/>
      <c r="W378" s="26"/>
      <c r="X378" s="26"/>
      <c r="Y378" s="26"/>
      <c r="Z378" s="26"/>
    </row>
    <row r="379" ht="15.75" customHeight="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637"/>
      <c r="V379" s="26"/>
      <c r="W379" s="26"/>
      <c r="X379" s="26"/>
      <c r="Y379" s="26"/>
      <c r="Z379" s="26"/>
    </row>
    <row r="380" ht="15.75" customHeight="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637"/>
      <c r="V380" s="26"/>
      <c r="W380" s="26"/>
      <c r="X380" s="26"/>
      <c r="Y380" s="26"/>
      <c r="Z380" s="26"/>
    </row>
    <row r="381" ht="15.75" customHeight="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637"/>
      <c r="V381" s="26"/>
      <c r="W381" s="26"/>
      <c r="X381" s="26"/>
      <c r="Y381" s="26"/>
      <c r="Z381" s="26"/>
    </row>
    <row r="382" ht="15.75" customHeight="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637"/>
      <c r="V382" s="26"/>
      <c r="W382" s="26"/>
      <c r="X382" s="26"/>
      <c r="Y382" s="26"/>
      <c r="Z382" s="26"/>
    </row>
    <row r="383" ht="15.75" customHeight="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637"/>
      <c r="V383" s="26"/>
      <c r="W383" s="26"/>
      <c r="X383" s="26"/>
      <c r="Y383" s="26"/>
      <c r="Z383" s="26"/>
    </row>
    <row r="384" ht="15.75" customHeight="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637"/>
      <c r="V384" s="26"/>
      <c r="W384" s="26"/>
      <c r="X384" s="26"/>
      <c r="Y384" s="26"/>
      <c r="Z384" s="26"/>
    </row>
    <row r="385" ht="15.75" customHeight="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637"/>
      <c r="V385" s="26"/>
      <c r="W385" s="26"/>
      <c r="X385" s="26"/>
      <c r="Y385" s="26"/>
      <c r="Z385" s="26"/>
    </row>
    <row r="386" ht="15.75" customHeight="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637"/>
      <c r="V386" s="26"/>
      <c r="W386" s="26"/>
      <c r="X386" s="26"/>
      <c r="Y386" s="26"/>
      <c r="Z386" s="26"/>
    </row>
    <row r="387" ht="15.75" customHeight="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637"/>
      <c r="V387" s="26"/>
      <c r="W387" s="26"/>
      <c r="X387" s="26"/>
      <c r="Y387" s="26"/>
      <c r="Z387" s="26"/>
    </row>
    <row r="388" ht="15.75" customHeight="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637"/>
      <c r="V388" s="26"/>
      <c r="W388" s="26"/>
      <c r="X388" s="26"/>
      <c r="Y388" s="26"/>
      <c r="Z388" s="26"/>
    </row>
    <row r="389" ht="15.75" customHeight="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637"/>
      <c r="V389" s="26"/>
      <c r="W389" s="26"/>
      <c r="X389" s="26"/>
      <c r="Y389" s="26"/>
      <c r="Z389" s="26"/>
    </row>
    <row r="390" ht="15.75" customHeight="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637"/>
      <c r="V390" s="26"/>
      <c r="W390" s="26"/>
      <c r="X390" s="26"/>
      <c r="Y390" s="26"/>
      <c r="Z390" s="26"/>
    </row>
    <row r="391" ht="15.75" customHeight="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637"/>
      <c r="V391" s="26"/>
      <c r="W391" s="26"/>
      <c r="X391" s="26"/>
      <c r="Y391" s="26"/>
      <c r="Z391" s="26"/>
    </row>
    <row r="392" ht="15.75" customHeight="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637"/>
      <c r="V392" s="26"/>
      <c r="W392" s="26"/>
      <c r="X392" s="26"/>
      <c r="Y392" s="26"/>
      <c r="Z392" s="26"/>
    </row>
    <row r="393" ht="15.75" customHeight="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637"/>
      <c r="V393" s="26"/>
      <c r="W393" s="26"/>
      <c r="X393" s="26"/>
      <c r="Y393" s="26"/>
      <c r="Z393" s="26"/>
    </row>
    <row r="394" ht="15.75" customHeight="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637"/>
      <c r="V394" s="26"/>
      <c r="W394" s="26"/>
      <c r="X394" s="26"/>
      <c r="Y394" s="26"/>
      <c r="Z394" s="26"/>
    </row>
    <row r="395" ht="15.75" customHeight="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637"/>
      <c r="V395" s="26"/>
      <c r="W395" s="26"/>
      <c r="X395" s="26"/>
      <c r="Y395" s="26"/>
      <c r="Z395" s="26"/>
    </row>
    <row r="396" ht="15.75" customHeight="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637"/>
      <c r="V396" s="26"/>
      <c r="W396" s="26"/>
      <c r="X396" s="26"/>
      <c r="Y396" s="26"/>
      <c r="Z396" s="26"/>
    </row>
    <row r="397" ht="15.75" customHeight="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637"/>
      <c r="V397" s="26"/>
      <c r="W397" s="26"/>
      <c r="X397" s="26"/>
      <c r="Y397" s="26"/>
      <c r="Z397" s="26"/>
    </row>
    <row r="398" ht="15.75" customHeight="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637"/>
      <c r="V398" s="26"/>
      <c r="W398" s="26"/>
      <c r="X398" s="26"/>
      <c r="Y398" s="26"/>
      <c r="Z398" s="26"/>
    </row>
    <row r="399" ht="15.75" customHeight="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637"/>
      <c r="V399" s="26"/>
      <c r="W399" s="26"/>
      <c r="X399" s="26"/>
      <c r="Y399" s="26"/>
      <c r="Z399" s="26"/>
    </row>
    <row r="400" ht="15.75" customHeight="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637"/>
      <c r="V400" s="26"/>
      <c r="W400" s="26"/>
      <c r="X400" s="26"/>
      <c r="Y400" s="26"/>
      <c r="Z400" s="26"/>
    </row>
    <row r="401" ht="15.75" customHeight="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637"/>
      <c r="V401" s="26"/>
      <c r="W401" s="26"/>
      <c r="X401" s="26"/>
      <c r="Y401" s="26"/>
      <c r="Z401" s="26"/>
    </row>
    <row r="402" ht="15.75" customHeight="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637"/>
      <c r="V402" s="26"/>
      <c r="W402" s="26"/>
      <c r="X402" s="26"/>
      <c r="Y402" s="26"/>
      <c r="Z402" s="26"/>
    </row>
    <row r="403" ht="15.75" customHeight="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637"/>
      <c r="V403" s="26"/>
      <c r="W403" s="26"/>
      <c r="X403" s="26"/>
      <c r="Y403" s="26"/>
      <c r="Z403" s="26"/>
    </row>
    <row r="404" ht="15.75" customHeight="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637"/>
      <c r="V404" s="26"/>
      <c r="W404" s="26"/>
      <c r="X404" s="26"/>
      <c r="Y404" s="26"/>
      <c r="Z404" s="26"/>
    </row>
    <row r="405" ht="15.75" customHeight="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637"/>
      <c r="V405" s="26"/>
      <c r="W405" s="26"/>
      <c r="X405" s="26"/>
      <c r="Y405" s="26"/>
      <c r="Z405" s="26"/>
    </row>
    <row r="406" ht="15.75" customHeight="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637"/>
      <c r="V406" s="26"/>
      <c r="W406" s="26"/>
      <c r="X406" s="26"/>
      <c r="Y406" s="26"/>
      <c r="Z406" s="26"/>
    </row>
    <row r="407" ht="15.75" customHeight="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637"/>
      <c r="V407" s="26"/>
      <c r="W407" s="26"/>
      <c r="X407" s="26"/>
      <c r="Y407" s="26"/>
      <c r="Z407" s="26"/>
    </row>
    <row r="408" ht="15.75" customHeight="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637"/>
      <c r="V408" s="26"/>
      <c r="W408" s="26"/>
      <c r="X408" s="26"/>
      <c r="Y408" s="26"/>
      <c r="Z408" s="26"/>
    </row>
    <row r="409" ht="15.75" customHeight="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637"/>
      <c r="V409" s="26"/>
      <c r="W409" s="26"/>
      <c r="X409" s="26"/>
      <c r="Y409" s="26"/>
      <c r="Z409" s="26"/>
    </row>
    <row r="410" ht="15.75" customHeight="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637"/>
      <c r="V410" s="26"/>
      <c r="W410" s="26"/>
      <c r="X410" s="26"/>
      <c r="Y410" s="26"/>
      <c r="Z410" s="26"/>
    </row>
    <row r="411" ht="15.75" customHeight="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637"/>
      <c r="V411" s="26"/>
      <c r="W411" s="26"/>
      <c r="X411" s="26"/>
      <c r="Y411" s="26"/>
      <c r="Z411" s="26"/>
    </row>
    <row r="412" ht="15.75" customHeight="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637"/>
      <c r="V412" s="26"/>
      <c r="W412" s="26"/>
      <c r="X412" s="26"/>
      <c r="Y412" s="26"/>
      <c r="Z412" s="26"/>
    </row>
    <row r="413" ht="15.75" customHeight="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637"/>
      <c r="V413" s="26"/>
      <c r="W413" s="26"/>
      <c r="X413" s="26"/>
      <c r="Y413" s="26"/>
      <c r="Z413" s="26"/>
    </row>
    <row r="414" ht="15.75" customHeight="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637"/>
      <c r="V414" s="26"/>
      <c r="W414" s="26"/>
      <c r="X414" s="26"/>
      <c r="Y414" s="26"/>
      <c r="Z414" s="26"/>
    </row>
    <row r="415" ht="15.75" customHeight="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637"/>
      <c r="V415" s="26"/>
      <c r="W415" s="26"/>
      <c r="X415" s="26"/>
      <c r="Y415" s="26"/>
      <c r="Z415" s="26"/>
    </row>
    <row r="416" ht="15.75" customHeight="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637"/>
      <c r="V416" s="26"/>
      <c r="W416" s="26"/>
      <c r="X416" s="26"/>
      <c r="Y416" s="26"/>
      <c r="Z416" s="26"/>
    </row>
    <row r="417" ht="15.75" customHeight="1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637"/>
      <c r="V417" s="26"/>
      <c r="W417" s="26"/>
      <c r="X417" s="26"/>
      <c r="Y417" s="26"/>
      <c r="Z417" s="26"/>
    </row>
    <row r="418" ht="15.75" customHeight="1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637"/>
      <c r="V418" s="26"/>
      <c r="W418" s="26"/>
      <c r="X418" s="26"/>
      <c r="Y418" s="26"/>
      <c r="Z418" s="26"/>
    </row>
    <row r="419" ht="15.75" customHeight="1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637"/>
      <c r="V419" s="26"/>
      <c r="W419" s="26"/>
      <c r="X419" s="26"/>
      <c r="Y419" s="26"/>
      <c r="Z419" s="26"/>
    </row>
    <row r="420" ht="15.75" customHeight="1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637"/>
      <c r="V420" s="26"/>
      <c r="W420" s="26"/>
      <c r="X420" s="26"/>
      <c r="Y420" s="26"/>
      <c r="Z420" s="26"/>
    </row>
    <row r="421" ht="15.75" customHeight="1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637"/>
      <c r="V421" s="26"/>
      <c r="W421" s="26"/>
      <c r="X421" s="26"/>
      <c r="Y421" s="26"/>
      <c r="Z421" s="26"/>
    </row>
    <row r="422" ht="15.75" customHeight="1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637"/>
      <c r="V422" s="26"/>
      <c r="W422" s="26"/>
      <c r="X422" s="26"/>
      <c r="Y422" s="26"/>
      <c r="Z422" s="26"/>
    </row>
    <row r="423" ht="15.75" customHeight="1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637"/>
      <c r="V423" s="26"/>
      <c r="W423" s="26"/>
      <c r="X423" s="26"/>
      <c r="Y423" s="26"/>
      <c r="Z423" s="26"/>
    </row>
    <row r="424" ht="15.75" customHeight="1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637"/>
      <c r="V424" s="26"/>
      <c r="W424" s="26"/>
      <c r="X424" s="26"/>
      <c r="Y424" s="26"/>
      <c r="Z424" s="26"/>
    </row>
    <row r="425" ht="15.75" customHeight="1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637"/>
      <c r="V425" s="26"/>
      <c r="W425" s="26"/>
      <c r="X425" s="26"/>
      <c r="Y425" s="26"/>
      <c r="Z425" s="26"/>
    </row>
    <row r="426" ht="15.75" customHeight="1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637"/>
      <c r="V426" s="26"/>
      <c r="W426" s="26"/>
      <c r="X426" s="26"/>
      <c r="Y426" s="26"/>
      <c r="Z426" s="26"/>
    </row>
    <row r="427" ht="15.75" customHeight="1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637"/>
      <c r="V427" s="26"/>
      <c r="W427" s="26"/>
      <c r="X427" s="26"/>
      <c r="Y427" s="26"/>
      <c r="Z427" s="26"/>
    </row>
    <row r="428" ht="15.75" customHeight="1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637"/>
      <c r="V428" s="26"/>
      <c r="W428" s="26"/>
      <c r="X428" s="26"/>
      <c r="Y428" s="26"/>
      <c r="Z428" s="26"/>
    </row>
    <row r="429" ht="15.75" customHeight="1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637"/>
      <c r="V429" s="26"/>
      <c r="W429" s="26"/>
      <c r="X429" s="26"/>
      <c r="Y429" s="26"/>
      <c r="Z429" s="26"/>
    </row>
    <row r="430" ht="15.75" customHeight="1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637"/>
      <c r="V430" s="26"/>
      <c r="W430" s="26"/>
      <c r="X430" s="26"/>
      <c r="Y430" s="26"/>
      <c r="Z430" s="26"/>
    </row>
    <row r="431" ht="15.75" customHeight="1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637"/>
      <c r="V431" s="26"/>
      <c r="W431" s="26"/>
      <c r="X431" s="26"/>
      <c r="Y431" s="26"/>
      <c r="Z431" s="26"/>
    </row>
    <row r="432" ht="15.75" customHeight="1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637"/>
      <c r="V432" s="26"/>
      <c r="W432" s="26"/>
      <c r="X432" s="26"/>
      <c r="Y432" s="26"/>
      <c r="Z432" s="26"/>
    </row>
    <row r="433" ht="15.75" customHeight="1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637"/>
      <c r="V433" s="26"/>
      <c r="W433" s="26"/>
      <c r="X433" s="26"/>
      <c r="Y433" s="26"/>
      <c r="Z433" s="26"/>
    </row>
    <row r="434" ht="15.75" customHeight="1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637"/>
      <c r="V434" s="26"/>
      <c r="W434" s="26"/>
      <c r="X434" s="26"/>
      <c r="Y434" s="26"/>
      <c r="Z434" s="26"/>
    </row>
    <row r="435" ht="15.75" customHeight="1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637"/>
      <c r="V435" s="26"/>
      <c r="W435" s="26"/>
      <c r="X435" s="26"/>
      <c r="Y435" s="26"/>
      <c r="Z435" s="26"/>
    </row>
    <row r="436" ht="15.75" customHeight="1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637"/>
      <c r="V436" s="26"/>
      <c r="W436" s="26"/>
      <c r="X436" s="26"/>
      <c r="Y436" s="26"/>
      <c r="Z436" s="26"/>
    </row>
    <row r="437" ht="15.75" customHeight="1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637"/>
      <c r="V437" s="26"/>
      <c r="W437" s="26"/>
      <c r="X437" s="26"/>
      <c r="Y437" s="26"/>
      <c r="Z437" s="26"/>
    </row>
    <row r="438" ht="15.75" customHeight="1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637"/>
      <c r="V438" s="26"/>
      <c r="W438" s="26"/>
      <c r="X438" s="26"/>
      <c r="Y438" s="26"/>
      <c r="Z438" s="26"/>
    </row>
    <row r="439" ht="15.75" customHeight="1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637"/>
      <c r="V439" s="26"/>
      <c r="W439" s="26"/>
      <c r="X439" s="26"/>
      <c r="Y439" s="26"/>
      <c r="Z439" s="26"/>
    </row>
    <row r="440" ht="15.75" customHeight="1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637"/>
      <c r="V440" s="26"/>
      <c r="W440" s="26"/>
      <c r="X440" s="26"/>
      <c r="Y440" s="26"/>
      <c r="Z440" s="26"/>
    </row>
    <row r="441" ht="15.75" customHeight="1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637"/>
      <c r="V441" s="26"/>
      <c r="W441" s="26"/>
      <c r="X441" s="26"/>
      <c r="Y441" s="26"/>
      <c r="Z441" s="26"/>
    </row>
    <row r="442" ht="15.75" customHeight="1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637"/>
      <c r="V442" s="26"/>
      <c r="W442" s="26"/>
      <c r="X442" s="26"/>
      <c r="Y442" s="26"/>
      <c r="Z442" s="26"/>
    </row>
    <row r="443" ht="15.75" customHeight="1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637"/>
      <c r="V443" s="26"/>
      <c r="W443" s="26"/>
      <c r="X443" s="26"/>
      <c r="Y443" s="26"/>
      <c r="Z443" s="26"/>
    </row>
    <row r="444" ht="15.75" customHeight="1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637"/>
      <c r="V444" s="26"/>
      <c r="W444" s="26"/>
      <c r="X444" s="26"/>
      <c r="Y444" s="26"/>
      <c r="Z444" s="26"/>
    </row>
    <row r="445" ht="15.75" customHeight="1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637"/>
      <c r="V445" s="26"/>
      <c r="W445" s="26"/>
      <c r="X445" s="26"/>
      <c r="Y445" s="26"/>
      <c r="Z445" s="26"/>
    </row>
    <row r="446" ht="15.75" customHeight="1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637"/>
      <c r="V446" s="26"/>
      <c r="W446" s="26"/>
      <c r="X446" s="26"/>
      <c r="Y446" s="26"/>
      <c r="Z446" s="26"/>
    </row>
    <row r="447" ht="15.75" customHeight="1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637"/>
      <c r="V447" s="26"/>
      <c r="W447" s="26"/>
      <c r="X447" s="26"/>
      <c r="Y447" s="26"/>
      <c r="Z447" s="26"/>
    </row>
    <row r="448" ht="15.75" customHeight="1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637"/>
      <c r="V448" s="26"/>
      <c r="W448" s="26"/>
      <c r="X448" s="26"/>
      <c r="Y448" s="26"/>
      <c r="Z448" s="26"/>
    </row>
    <row r="449" ht="15.75" customHeight="1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637"/>
      <c r="V449" s="26"/>
      <c r="W449" s="26"/>
      <c r="X449" s="26"/>
      <c r="Y449" s="26"/>
      <c r="Z449" s="26"/>
    </row>
    <row r="450" ht="15.75" customHeight="1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637"/>
      <c r="V450" s="26"/>
      <c r="W450" s="26"/>
      <c r="X450" s="26"/>
      <c r="Y450" s="26"/>
      <c r="Z450" s="26"/>
    </row>
    <row r="451" ht="15.75" customHeight="1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637"/>
      <c r="V451" s="26"/>
      <c r="W451" s="26"/>
      <c r="X451" s="26"/>
      <c r="Y451" s="26"/>
      <c r="Z451" s="26"/>
    </row>
    <row r="452" ht="15.75" customHeight="1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637"/>
      <c r="V452" s="26"/>
      <c r="W452" s="26"/>
      <c r="X452" s="26"/>
      <c r="Y452" s="26"/>
      <c r="Z452" s="26"/>
    </row>
    <row r="453" ht="15.75" customHeight="1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637"/>
      <c r="V453" s="26"/>
      <c r="W453" s="26"/>
      <c r="X453" s="26"/>
      <c r="Y453" s="26"/>
      <c r="Z453" s="26"/>
    </row>
    <row r="454" ht="15.75" customHeight="1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637"/>
      <c r="V454" s="26"/>
      <c r="W454" s="26"/>
      <c r="X454" s="26"/>
      <c r="Y454" s="26"/>
      <c r="Z454" s="26"/>
    </row>
    <row r="455" ht="15.75" customHeight="1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637"/>
      <c r="V455" s="26"/>
      <c r="W455" s="26"/>
      <c r="X455" s="26"/>
      <c r="Y455" s="26"/>
      <c r="Z455" s="26"/>
    </row>
    <row r="456" ht="15.75" customHeight="1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637"/>
      <c r="V456" s="26"/>
      <c r="W456" s="26"/>
      <c r="X456" s="26"/>
      <c r="Y456" s="26"/>
      <c r="Z456" s="26"/>
    </row>
    <row r="457" ht="15.75" customHeight="1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637"/>
      <c r="V457" s="26"/>
      <c r="W457" s="26"/>
      <c r="X457" s="26"/>
      <c r="Y457" s="26"/>
      <c r="Z457" s="26"/>
    </row>
    <row r="458" ht="15.75" customHeight="1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637"/>
      <c r="V458" s="26"/>
      <c r="W458" s="26"/>
      <c r="X458" s="26"/>
      <c r="Y458" s="26"/>
      <c r="Z458" s="26"/>
    </row>
    <row r="459" ht="15.75" customHeight="1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637"/>
      <c r="V459" s="26"/>
      <c r="W459" s="26"/>
      <c r="X459" s="26"/>
      <c r="Y459" s="26"/>
      <c r="Z459" s="26"/>
    </row>
    <row r="460" ht="15.75" customHeight="1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637"/>
      <c r="V460" s="26"/>
      <c r="W460" s="26"/>
      <c r="X460" s="26"/>
      <c r="Y460" s="26"/>
      <c r="Z460" s="26"/>
    </row>
    <row r="461" ht="15.75" customHeight="1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637"/>
      <c r="V461" s="26"/>
      <c r="W461" s="26"/>
      <c r="X461" s="26"/>
      <c r="Y461" s="26"/>
      <c r="Z461" s="26"/>
    </row>
    <row r="462" ht="15.75" customHeight="1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637"/>
      <c r="V462" s="26"/>
      <c r="W462" s="26"/>
      <c r="X462" s="26"/>
      <c r="Y462" s="26"/>
      <c r="Z462" s="26"/>
    </row>
    <row r="463" ht="15.75" customHeight="1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637"/>
      <c r="V463" s="26"/>
      <c r="W463" s="26"/>
      <c r="X463" s="26"/>
      <c r="Y463" s="26"/>
      <c r="Z463" s="26"/>
    </row>
    <row r="464" ht="15.75" customHeight="1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637"/>
      <c r="V464" s="26"/>
      <c r="W464" s="26"/>
      <c r="X464" s="26"/>
      <c r="Y464" s="26"/>
      <c r="Z464" s="26"/>
    </row>
    <row r="465" ht="15.75" customHeight="1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637"/>
      <c r="V465" s="26"/>
      <c r="W465" s="26"/>
      <c r="X465" s="26"/>
      <c r="Y465" s="26"/>
      <c r="Z465" s="26"/>
    </row>
    <row r="466" ht="15.75" customHeight="1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637"/>
      <c r="V466" s="26"/>
      <c r="W466" s="26"/>
      <c r="X466" s="26"/>
      <c r="Y466" s="26"/>
      <c r="Z466" s="26"/>
    </row>
    <row r="467" ht="15.75" customHeight="1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637"/>
      <c r="V467" s="26"/>
      <c r="W467" s="26"/>
      <c r="X467" s="26"/>
      <c r="Y467" s="26"/>
      <c r="Z467" s="26"/>
    </row>
    <row r="468" ht="15.75" customHeight="1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637"/>
      <c r="V468" s="26"/>
      <c r="W468" s="26"/>
      <c r="X468" s="26"/>
      <c r="Y468" s="26"/>
      <c r="Z468" s="26"/>
    </row>
    <row r="469" ht="15.75" customHeight="1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637"/>
      <c r="V469" s="26"/>
      <c r="W469" s="26"/>
      <c r="X469" s="26"/>
      <c r="Y469" s="26"/>
      <c r="Z469" s="26"/>
    </row>
    <row r="470" ht="15.75" customHeight="1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637"/>
      <c r="V470" s="26"/>
      <c r="W470" s="26"/>
      <c r="X470" s="26"/>
      <c r="Y470" s="26"/>
      <c r="Z470" s="26"/>
    </row>
    <row r="471" ht="15.75" customHeight="1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637"/>
      <c r="V471" s="26"/>
      <c r="W471" s="26"/>
      <c r="X471" s="26"/>
      <c r="Y471" s="26"/>
      <c r="Z471" s="26"/>
    </row>
    <row r="472" ht="15.75" customHeight="1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637"/>
      <c r="V472" s="26"/>
      <c r="W472" s="26"/>
      <c r="X472" s="26"/>
      <c r="Y472" s="26"/>
      <c r="Z472" s="26"/>
    </row>
    <row r="473" ht="15.75" customHeight="1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637"/>
      <c r="V473" s="26"/>
      <c r="W473" s="26"/>
      <c r="X473" s="26"/>
      <c r="Y473" s="26"/>
      <c r="Z473" s="26"/>
    </row>
    <row r="474" ht="15.75" customHeight="1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637"/>
      <c r="V474" s="26"/>
      <c r="W474" s="26"/>
      <c r="X474" s="26"/>
      <c r="Y474" s="26"/>
      <c r="Z474" s="26"/>
    </row>
    <row r="475" ht="15.75" customHeight="1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637"/>
      <c r="V475" s="26"/>
      <c r="W475" s="26"/>
      <c r="X475" s="26"/>
      <c r="Y475" s="26"/>
      <c r="Z475" s="26"/>
    </row>
    <row r="476" ht="15.75" customHeight="1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637"/>
      <c r="V476" s="26"/>
      <c r="W476" s="26"/>
      <c r="X476" s="26"/>
      <c r="Y476" s="26"/>
      <c r="Z476" s="26"/>
    </row>
    <row r="477" ht="15.75" customHeight="1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637"/>
      <c r="V477" s="26"/>
      <c r="W477" s="26"/>
      <c r="X477" s="26"/>
      <c r="Y477" s="26"/>
      <c r="Z477" s="26"/>
    </row>
    <row r="478" ht="15.75" customHeight="1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637"/>
      <c r="V478" s="26"/>
      <c r="W478" s="26"/>
      <c r="X478" s="26"/>
      <c r="Y478" s="26"/>
      <c r="Z478" s="26"/>
    </row>
    <row r="479" ht="15.75" customHeight="1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637"/>
      <c r="V479" s="26"/>
      <c r="W479" s="26"/>
      <c r="X479" s="26"/>
      <c r="Y479" s="26"/>
      <c r="Z479" s="26"/>
    </row>
    <row r="480" ht="15.75" customHeight="1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637"/>
      <c r="V480" s="26"/>
      <c r="W480" s="26"/>
      <c r="X480" s="26"/>
      <c r="Y480" s="26"/>
      <c r="Z480" s="26"/>
    </row>
    <row r="481" ht="15.75" customHeight="1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637"/>
      <c r="V481" s="26"/>
      <c r="W481" s="26"/>
      <c r="X481" s="26"/>
      <c r="Y481" s="26"/>
      <c r="Z481" s="26"/>
    </row>
    <row r="482" ht="15.75" customHeight="1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637"/>
      <c r="V482" s="26"/>
      <c r="W482" s="26"/>
      <c r="X482" s="26"/>
      <c r="Y482" s="26"/>
      <c r="Z482" s="26"/>
    </row>
    <row r="483" ht="15.75" customHeight="1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637"/>
      <c r="V483" s="26"/>
      <c r="W483" s="26"/>
      <c r="X483" s="26"/>
      <c r="Y483" s="26"/>
      <c r="Z483" s="26"/>
    </row>
    <row r="484" ht="15.75" customHeight="1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637"/>
      <c r="V484" s="26"/>
      <c r="W484" s="26"/>
      <c r="X484" s="26"/>
      <c r="Y484" s="26"/>
      <c r="Z484" s="26"/>
    </row>
    <row r="485" ht="15.75" customHeight="1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637"/>
      <c r="V485" s="26"/>
      <c r="W485" s="26"/>
      <c r="X485" s="26"/>
      <c r="Y485" s="26"/>
      <c r="Z485" s="26"/>
    </row>
    <row r="486" ht="15.75" customHeight="1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637"/>
      <c r="V486" s="26"/>
      <c r="W486" s="26"/>
      <c r="X486" s="26"/>
      <c r="Y486" s="26"/>
      <c r="Z486" s="26"/>
    </row>
    <row r="487" ht="15.75" customHeight="1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637"/>
      <c r="V487" s="26"/>
      <c r="W487" s="26"/>
      <c r="X487" s="26"/>
      <c r="Y487" s="26"/>
      <c r="Z487" s="26"/>
    </row>
    <row r="488" ht="15.75" customHeight="1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637"/>
      <c r="V488" s="26"/>
      <c r="W488" s="26"/>
      <c r="X488" s="26"/>
      <c r="Y488" s="26"/>
      <c r="Z488" s="26"/>
    </row>
    <row r="489" ht="15.75" customHeight="1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637"/>
      <c r="V489" s="26"/>
      <c r="W489" s="26"/>
      <c r="X489" s="26"/>
      <c r="Y489" s="26"/>
      <c r="Z489" s="26"/>
    </row>
    <row r="490" ht="15.75" customHeight="1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637"/>
      <c r="V490" s="26"/>
      <c r="W490" s="26"/>
      <c r="X490" s="26"/>
      <c r="Y490" s="26"/>
      <c r="Z490" s="26"/>
    </row>
    <row r="491" ht="15.75" customHeight="1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637"/>
      <c r="V491" s="26"/>
      <c r="W491" s="26"/>
      <c r="X491" s="26"/>
      <c r="Y491" s="26"/>
      <c r="Z491" s="26"/>
    </row>
    <row r="492" ht="15.75" customHeight="1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637"/>
      <c r="V492" s="26"/>
      <c r="W492" s="26"/>
      <c r="X492" s="26"/>
      <c r="Y492" s="26"/>
      <c r="Z492" s="26"/>
    </row>
    <row r="493" ht="15.75" customHeight="1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637"/>
      <c r="V493" s="26"/>
      <c r="W493" s="26"/>
      <c r="X493" s="26"/>
      <c r="Y493" s="26"/>
      <c r="Z493" s="26"/>
    </row>
    <row r="494" ht="15.75" customHeight="1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637"/>
      <c r="V494" s="26"/>
      <c r="W494" s="26"/>
      <c r="X494" s="26"/>
      <c r="Y494" s="26"/>
      <c r="Z494" s="26"/>
    </row>
    <row r="495" ht="15.75" customHeight="1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637"/>
      <c r="V495" s="26"/>
      <c r="W495" s="26"/>
      <c r="X495" s="26"/>
      <c r="Y495" s="26"/>
      <c r="Z495" s="26"/>
    </row>
    <row r="496" ht="15.75" customHeight="1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637"/>
      <c r="V496" s="26"/>
      <c r="W496" s="26"/>
      <c r="X496" s="26"/>
      <c r="Y496" s="26"/>
      <c r="Z496" s="26"/>
    </row>
    <row r="497" ht="15.75" customHeight="1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637"/>
      <c r="V497" s="26"/>
      <c r="W497" s="26"/>
      <c r="X497" s="26"/>
      <c r="Y497" s="26"/>
      <c r="Z497" s="26"/>
    </row>
    <row r="498" ht="15.75" customHeight="1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637"/>
      <c r="V498" s="26"/>
      <c r="W498" s="26"/>
      <c r="X498" s="26"/>
      <c r="Y498" s="26"/>
      <c r="Z498" s="26"/>
    </row>
    <row r="499" ht="15.75" customHeight="1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637"/>
      <c r="V499" s="26"/>
      <c r="W499" s="26"/>
      <c r="X499" s="26"/>
      <c r="Y499" s="26"/>
      <c r="Z499" s="26"/>
    </row>
    <row r="500" ht="15.75" customHeight="1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637"/>
      <c r="V500" s="26"/>
      <c r="W500" s="26"/>
      <c r="X500" s="26"/>
      <c r="Y500" s="26"/>
      <c r="Z500" s="26"/>
    </row>
    <row r="501" ht="15.75" customHeight="1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637"/>
      <c r="V501" s="26"/>
      <c r="W501" s="26"/>
      <c r="X501" s="26"/>
      <c r="Y501" s="26"/>
      <c r="Z501" s="26"/>
    </row>
    <row r="502" ht="15.75" customHeight="1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637"/>
      <c r="V502" s="26"/>
      <c r="W502" s="26"/>
      <c r="X502" s="26"/>
      <c r="Y502" s="26"/>
      <c r="Z502" s="26"/>
    </row>
    <row r="503" ht="15.75" customHeight="1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637"/>
      <c r="V503" s="26"/>
      <c r="W503" s="26"/>
      <c r="X503" s="26"/>
      <c r="Y503" s="26"/>
      <c r="Z503" s="26"/>
    </row>
    <row r="504" ht="15.75" customHeight="1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637"/>
      <c r="V504" s="26"/>
      <c r="W504" s="26"/>
      <c r="X504" s="26"/>
      <c r="Y504" s="26"/>
      <c r="Z504" s="26"/>
    </row>
    <row r="505" ht="15.75" customHeight="1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637"/>
      <c r="V505" s="26"/>
      <c r="W505" s="26"/>
      <c r="X505" s="26"/>
      <c r="Y505" s="26"/>
      <c r="Z505" s="26"/>
    </row>
    <row r="506" ht="15.75" customHeight="1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637"/>
      <c r="V506" s="26"/>
      <c r="W506" s="26"/>
      <c r="X506" s="26"/>
      <c r="Y506" s="26"/>
      <c r="Z506" s="26"/>
    </row>
    <row r="507" ht="15.75" customHeight="1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637"/>
      <c r="V507" s="26"/>
      <c r="W507" s="26"/>
      <c r="X507" s="26"/>
      <c r="Y507" s="26"/>
      <c r="Z507" s="26"/>
    </row>
    <row r="508" ht="15.75" customHeight="1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637"/>
      <c r="V508" s="26"/>
      <c r="W508" s="26"/>
      <c r="X508" s="26"/>
      <c r="Y508" s="26"/>
      <c r="Z508" s="26"/>
    </row>
    <row r="509" ht="15.75" customHeight="1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637"/>
      <c r="V509" s="26"/>
      <c r="W509" s="26"/>
      <c r="X509" s="26"/>
      <c r="Y509" s="26"/>
      <c r="Z509" s="26"/>
    </row>
    <row r="510" ht="15.75" customHeight="1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637"/>
      <c r="V510" s="26"/>
      <c r="W510" s="26"/>
      <c r="X510" s="26"/>
      <c r="Y510" s="26"/>
      <c r="Z510" s="26"/>
    </row>
    <row r="511" ht="15.75" customHeight="1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637"/>
      <c r="V511" s="26"/>
      <c r="W511" s="26"/>
      <c r="X511" s="26"/>
      <c r="Y511" s="26"/>
      <c r="Z511" s="26"/>
    </row>
    <row r="512" ht="15.75" customHeight="1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637"/>
      <c r="V512" s="26"/>
      <c r="W512" s="26"/>
      <c r="X512" s="26"/>
      <c r="Y512" s="26"/>
      <c r="Z512" s="26"/>
    </row>
    <row r="513" ht="15.75" customHeight="1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637"/>
      <c r="V513" s="26"/>
      <c r="W513" s="26"/>
      <c r="X513" s="26"/>
      <c r="Y513" s="26"/>
      <c r="Z513" s="26"/>
    </row>
    <row r="514" ht="15.75" customHeight="1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637"/>
      <c r="V514" s="26"/>
      <c r="W514" s="26"/>
      <c r="X514" s="26"/>
      <c r="Y514" s="26"/>
      <c r="Z514" s="26"/>
    </row>
    <row r="515" ht="15.75" customHeight="1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637"/>
      <c r="V515" s="26"/>
      <c r="W515" s="26"/>
      <c r="X515" s="26"/>
      <c r="Y515" s="26"/>
      <c r="Z515" s="26"/>
    </row>
    <row r="516" ht="15.75" customHeight="1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637"/>
      <c r="V516" s="26"/>
      <c r="W516" s="26"/>
      <c r="X516" s="26"/>
      <c r="Y516" s="26"/>
      <c r="Z516" s="26"/>
    </row>
    <row r="517" ht="15.75" customHeight="1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637"/>
      <c r="V517" s="26"/>
      <c r="W517" s="26"/>
      <c r="X517" s="26"/>
      <c r="Y517" s="26"/>
      <c r="Z517" s="26"/>
    </row>
    <row r="518" ht="15.75" customHeight="1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637"/>
      <c r="V518" s="26"/>
      <c r="W518" s="26"/>
      <c r="X518" s="26"/>
      <c r="Y518" s="26"/>
      <c r="Z518" s="26"/>
    </row>
    <row r="519" ht="15.75" customHeight="1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637"/>
      <c r="V519" s="26"/>
      <c r="W519" s="26"/>
      <c r="X519" s="26"/>
      <c r="Y519" s="26"/>
      <c r="Z519" s="26"/>
    </row>
    <row r="520" ht="15.75" customHeight="1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637"/>
      <c r="V520" s="26"/>
      <c r="W520" s="26"/>
      <c r="X520" s="26"/>
      <c r="Y520" s="26"/>
      <c r="Z520" s="26"/>
    </row>
    <row r="521" ht="15.75" customHeight="1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637"/>
      <c r="V521" s="26"/>
      <c r="W521" s="26"/>
      <c r="X521" s="26"/>
      <c r="Y521" s="26"/>
      <c r="Z521" s="26"/>
    </row>
    <row r="522" ht="15.75" customHeight="1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637"/>
      <c r="V522" s="26"/>
      <c r="W522" s="26"/>
      <c r="X522" s="26"/>
      <c r="Y522" s="26"/>
      <c r="Z522" s="26"/>
    </row>
    <row r="523" ht="15.75" customHeight="1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637"/>
      <c r="V523" s="26"/>
      <c r="W523" s="26"/>
      <c r="X523" s="26"/>
      <c r="Y523" s="26"/>
      <c r="Z523" s="26"/>
    </row>
    <row r="524" ht="15.75" customHeight="1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637"/>
      <c r="V524" s="26"/>
      <c r="W524" s="26"/>
      <c r="X524" s="26"/>
      <c r="Y524" s="26"/>
      <c r="Z524" s="26"/>
    </row>
    <row r="525" ht="15.75" customHeight="1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637"/>
      <c r="V525" s="26"/>
      <c r="W525" s="26"/>
      <c r="X525" s="26"/>
      <c r="Y525" s="26"/>
      <c r="Z525" s="26"/>
    </row>
    <row r="526" ht="15.75" customHeight="1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637"/>
      <c r="V526" s="26"/>
      <c r="W526" s="26"/>
      <c r="X526" s="26"/>
      <c r="Y526" s="26"/>
      <c r="Z526" s="26"/>
    </row>
    <row r="527" ht="15.75" customHeight="1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637"/>
      <c r="V527" s="26"/>
      <c r="W527" s="26"/>
      <c r="X527" s="26"/>
      <c r="Y527" s="26"/>
      <c r="Z527" s="26"/>
    </row>
    <row r="528" ht="15.75" customHeight="1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637"/>
      <c r="V528" s="26"/>
      <c r="W528" s="26"/>
      <c r="X528" s="26"/>
      <c r="Y528" s="26"/>
      <c r="Z528" s="26"/>
    </row>
    <row r="529" ht="15.75" customHeight="1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637"/>
      <c r="V529" s="26"/>
      <c r="W529" s="26"/>
      <c r="X529" s="26"/>
      <c r="Y529" s="26"/>
      <c r="Z529" s="26"/>
    </row>
    <row r="530" ht="15.75" customHeight="1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637"/>
      <c r="V530" s="26"/>
      <c r="W530" s="26"/>
      <c r="X530" s="26"/>
      <c r="Y530" s="26"/>
      <c r="Z530" s="26"/>
    </row>
    <row r="531" ht="15.75" customHeight="1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637"/>
      <c r="V531" s="26"/>
      <c r="W531" s="26"/>
      <c r="X531" s="26"/>
      <c r="Y531" s="26"/>
      <c r="Z531" s="26"/>
    </row>
    <row r="532" ht="15.75" customHeight="1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637"/>
      <c r="V532" s="26"/>
      <c r="W532" s="26"/>
      <c r="X532" s="26"/>
      <c r="Y532" s="26"/>
      <c r="Z532" s="26"/>
    </row>
    <row r="533" ht="15.75" customHeight="1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637"/>
      <c r="V533" s="26"/>
      <c r="W533" s="26"/>
      <c r="X533" s="26"/>
      <c r="Y533" s="26"/>
      <c r="Z533" s="26"/>
    </row>
    <row r="534" ht="15.75" customHeight="1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637"/>
      <c r="V534" s="26"/>
      <c r="W534" s="26"/>
      <c r="X534" s="26"/>
      <c r="Y534" s="26"/>
      <c r="Z534" s="26"/>
    </row>
    <row r="535" ht="15.75" customHeight="1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637"/>
      <c r="V535" s="26"/>
      <c r="W535" s="26"/>
      <c r="X535" s="26"/>
      <c r="Y535" s="26"/>
      <c r="Z535" s="26"/>
    </row>
    <row r="536" ht="15.75" customHeight="1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637"/>
      <c r="V536" s="26"/>
      <c r="W536" s="26"/>
      <c r="X536" s="26"/>
      <c r="Y536" s="26"/>
      <c r="Z536" s="26"/>
    </row>
    <row r="537" ht="15.75" customHeight="1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637"/>
      <c r="V537" s="26"/>
      <c r="W537" s="26"/>
      <c r="X537" s="26"/>
      <c r="Y537" s="26"/>
      <c r="Z537" s="26"/>
    </row>
    <row r="538" ht="15.75" customHeight="1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637"/>
      <c r="V538" s="26"/>
      <c r="W538" s="26"/>
      <c r="X538" s="26"/>
      <c r="Y538" s="26"/>
      <c r="Z538" s="26"/>
    </row>
    <row r="539" ht="15.75" customHeight="1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637"/>
      <c r="V539" s="26"/>
      <c r="W539" s="26"/>
      <c r="X539" s="26"/>
      <c r="Y539" s="26"/>
      <c r="Z539" s="26"/>
    </row>
    <row r="540" ht="15.75" customHeight="1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637"/>
      <c r="V540" s="26"/>
      <c r="W540" s="26"/>
      <c r="X540" s="26"/>
      <c r="Y540" s="26"/>
      <c r="Z540" s="26"/>
    </row>
    <row r="541" ht="15.75" customHeight="1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637"/>
      <c r="V541" s="26"/>
      <c r="W541" s="26"/>
      <c r="X541" s="26"/>
      <c r="Y541" s="26"/>
      <c r="Z541" s="26"/>
    </row>
    <row r="542" ht="15.75" customHeight="1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637"/>
      <c r="V542" s="26"/>
      <c r="W542" s="26"/>
      <c r="X542" s="26"/>
      <c r="Y542" s="26"/>
      <c r="Z542" s="26"/>
    </row>
    <row r="543" ht="15.75" customHeight="1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637"/>
      <c r="V543" s="26"/>
      <c r="W543" s="26"/>
      <c r="X543" s="26"/>
      <c r="Y543" s="26"/>
      <c r="Z543" s="26"/>
    </row>
    <row r="544" ht="15.75" customHeight="1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637"/>
      <c r="V544" s="26"/>
      <c r="W544" s="26"/>
      <c r="X544" s="26"/>
      <c r="Y544" s="26"/>
      <c r="Z544" s="26"/>
    </row>
    <row r="545" ht="15.75" customHeight="1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637"/>
      <c r="V545" s="26"/>
      <c r="W545" s="26"/>
      <c r="X545" s="26"/>
      <c r="Y545" s="26"/>
      <c r="Z545" s="26"/>
    </row>
    <row r="546" ht="15.75" customHeight="1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637"/>
      <c r="V546" s="26"/>
      <c r="W546" s="26"/>
      <c r="X546" s="26"/>
      <c r="Y546" s="26"/>
      <c r="Z546" s="26"/>
    </row>
    <row r="547" ht="15.75" customHeight="1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637"/>
      <c r="V547" s="26"/>
      <c r="W547" s="26"/>
      <c r="X547" s="26"/>
      <c r="Y547" s="26"/>
      <c r="Z547" s="26"/>
    </row>
    <row r="548" ht="15.75" customHeight="1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637"/>
      <c r="V548" s="26"/>
      <c r="W548" s="26"/>
      <c r="X548" s="26"/>
      <c r="Y548" s="26"/>
      <c r="Z548" s="26"/>
    </row>
    <row r="549" ht="15.75" customHeight="1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637"/>
      <c r="V549" s="26"/>
      <c r="W549" s="26"/>
      <c r="X549" s="26"/>
      <c r="Y549" s="26"/>
      <c r="Z549" s="26"/>
    </row>
    <row r="550" ht="15.75" customHeight="1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637"/>
      <c r="V550" s="26"/>
      <c r="W550" s="26"/>
      <c r="X550" s="26"/>
      <c r="Y550" s="26"/>
      <c r="Z550" s="26"/>
    </row>
    <row r="551" ht="15.75" customHeight="1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637"/>
      <c r="V551" s="26"/>
      <c r="W551" s="26"/>
      <c r="X551" s="26"/>
      <c r="Y551" s="26"/>
      <c r="Z551" s="26"/>
    </row>
    <row r="552" ht="15.75" customHeight="1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637"/>
      <c r="V552" s="26"/>
      <c r="W552" s="26"/>
      <c r="X552" s="26"/>
      <c r="Y552" s="26"/>
      <c r="Z552" s="26"/>
    </row>
    <row r="553" ht="15.75" customHeight="1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637"/>
      <c r="V553" s="26"/>
      <c r="W553" s="26"/>
      <c r="X553" s="26"/>
      <c r="Y553" s="26"/>
      <c r="Z553" s="26"/>
    </row>
    <row r="554" ht="15.75" customHeight="1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637"/>
      <c r="V554" s="26"/>
      <c r="W554" s="26"/>
      <c r="X554" s="26"/>
      <c r="Y554" s="26"/>
      <c r="Z554" s="26"/>
    </row>
    <row r="555" ht="15.75" customHeight="1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637"/>
      <c r="V555" s="26"/>
      <c r="W555" s="26"/>
      <c r="X555" s="26"/>
      <c r="Y555" s="26"/>
      <c r="Z555" s="26"/>
    </row>
    <row r="556" ht="15.75" customHeight="1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637"/>
      <c r="V556" s="26"/>
      <c r="W556" s="26"/>
      <c r="X556" s="26"/>
      <c r="Y556" s="26"/>
      <c r="Z556" s="26"/>
    </row>
    <row r="557" ht="15.75" customHeight="1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637"/>
      <c r="V557" s="26"/>
      <c r="W557" s="26"/>
      <c r="X557" s="26"/>
      <c r="Y557" s="26"/>
      <c r="Z557" s="26"/>
    </row>
    <row r="558" ht="15.75" customHeight="1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637"/>
      <c r="V558" s="26"/>
      <c r="W558" s="26"/>
      <c r="X558" s="26"/>
      <c r="Y558" s="26"/>
      <c r="Z558" s="26"/>
    </row>
    <row r="559" ht="15.75" customHeight="1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637"/>
      <c r="V559" s="26"/>
      <c r="W559" s="26"/>
      <c r="X559" s="26"/>
      <c r="Y559" s="26"/>
      <c r="Z559" s="26"/>
    </row>
    <row r="560" ht="15.75" customHeight="1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637"/>
      <c r="V560" s="26"/>
      <c r="W560" s="26"/>
      <c r="X560" s="26"/>
      <c r="Y560" s="26"/>
      <c r="Z560" s="26"/>
    </row>
    <row r="561" ht="15.75" customHeight="1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637"/>
      <c r="V561" s="26"/>
      <c r="W561" s="26"/>
      <c r="X561" s="26"/>
      <c r="Y561" s="26"/>
      <c r="Z561" s="26"/>
    </row>
    <row r="562" ht="15.75" customHeight="1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637"/>
      <c r="V562" s="26"/>
      <c r="W562" s="26"/>
      <c r="X562" s="26"/>
      <c r="Y562" s="26"/>
      <c r="Z562" s="26"/>
    </row>
    <row r="563" ht="15.75" customHeight="1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637"/>
      <c r="V563" s="26"/>
      <c r="W563" s="26"/>
      <c r="X563" s="26"/>
      <c r="Y563" s="26"/>
      <c r="Z563" s="26"/>
    </row>
    <row r="564" ht="15.75" customHeight="1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637"/>
      <c r="V564" s="26"/>
      <c r="W564" s="26"/>
      <c r="X564" s="26"/>
      <c r="Y564" s="26"/>
      <c r="Z564" s="26"/>
    </row>
    <row r="565" ht="15.75" customHeight="1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637"/>
      <c r="V565" s="26"/>
      <c r="W565" s="26"/>
      <c r="X565" s="26"/>
      <c r="Y565" s="26"/>
      <c r="Z565" s="26"/>
    </row>
    <row r="566" ht="15.75" customHeight="1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637"/>
      <c r="V566" s="26"/>
      <c r="W566" s="26"/>
      <c r="X566" s="26"/>
      <c r="Y566" s="26"/>
      <c r="Z566" s="26"/>
    </row>
    <row r="567" ht="15.75" customHeight="1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637"/>
      <c r="V567" s="26"/>
      <c r="W567" s="26"/>
      <c r="X567" s="26"/>
      <c r="Y567" s="26"/>
      <c r="Z567" s="26"/>
    </row>
    <row r="568" ht="15.75" customHeight="1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637"/>
      <c r="V568" s="26"/>
      <c r="W568" s="26"/>
      <c r="X568" s="26"/>
      <c r="Y568" s="26"/>
      <c r="Z568" s="26"/>
    </row>
    <row r="569" ht="15.75" customHeight="1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637"/>
      <c r="V569" s="26"/>
      <c r="W569" s="26"/>
      <c r="X569" s="26"/>
      <c r="Y569" s="26"/>
      <c r="Z569" s="26"/>
    </row>
    <row r="570" ht="15.75" customHeight="1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637"/>
      <c r="V570" s="26"/>
      <c r="W570" s="26"/>
      <c r="X570" s="26"/>
      <c r="Y570" s="26"/>
      <c r="Z570" s="26"/>
    </row>
    <row r="571" ht="15.75" customHeight="1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637"/>
      <c r="V571" s="26"/>
      <c r="W571" s="26"/>
      <c r="X571" s="26"/>
      <c r="Y571" s="26"/>
      <c r="Z571" s="26"/>
    </row>
    <row r="572" ht="15.75" customHeight="1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637"/>
      <c r="V572" s="26"/>
      <c r="W572" s="26"/>
      <c r="X572" s="26"/>
      <c r="Y572" s="26"/>
      <c r="Z572" s="26"/>
    </row>
    <row r="573" ht="15.75" customHeight="1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637"/>
      <c r="V573" s="26"/>
      <c r="W573" s="26"/>
      <c r="X573" s="26"/>
      <c r="Y573" s="26"/>
      <c r="Z573" s="26"/>
    </row>
    <row r="574" ht="15.75" customHeight="1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637"/>
      <c r="V574" s="26"/>
      <c r="W574" s="26"/>
      <c r="X574" s="26"/>
      <c r="Y574" s="26"/>
      <c r="Z574" s="26"/>
    </row>
    <row r="575" ht="15.75" customHeight="1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637"/>
      <c r="V575" s="26"/>
      <c r="W575" s="26"/>
      <c r="X575" s="26"/>
      <c r="Y575" s="26"/>
      <c r="Z575" s="26"/>
    </row>
    <row r="576" ht="15.75" customHeight="1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637"/>
      <c r="V576" s="26"/>
      <c r="W576" s="26"/>
      <c r="X576" s="26"/>
      <c r="Y576" s="26"/>
      <c r="Z576" s="26"/>
    </row>
    <row r="577" ht="15.75" customHeight="1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637"/>
      <c r="V577" s="26"/>
      <c r="W577" s="26"/>
      <c r="X577" s="26"/>
      <c r="Y577" s="26"/>
      <c r="Z577" s="26"/>
    </row>
    <row r="578" ht="15.75" customHeight="1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637"/>
      <c r="V578" s="26"/>
      <c r="W578" s="26"/>
      <c r="X578" s="26"/>
      <c r="Y578" s="26"/>
      <c r="Z578" s="26"/>
    </row>
    <row r="579" ht="15.75" customHeight="1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637"/>
      <c r="V579" s="26"/>
      <c r="W579" s="26"/>
      <c r="X579" s="26"/>
      <c r="Y579" s="26"/>
      <c r="Z579" s="26"/>
    </row>
    <row r="580" ht="15.75" customHeight="1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637"/>
      <c r="V580" s="26"/>
      <c r="W580" s="26"/>
      <c r="X580" s="26"/>
      <c r="Y580" s="26"/>
      <c r="Z580" s="26"/>
    </row>
    <row r="581" ht="15.75" customHeight="1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637"/>
      <c r="V581" s="26"/>
      <c r="W581" s="26"/>
      <c r="X581" s="26"/>
      <c r="Y581" s="26"/>
      <c r="Z581" s="26"/>
    </row>
    <row r="582" ht="15.75" customHeight="1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637"/>
      <c r="V582" s="26"/>
      <c r="W582" s="26"/>
      <c r="X582" s="26"/>
      <c r="Y582" s="26"/>
      <c r="Z582" s="26"/>
    </row>
    <row r="583" ht="15.75" customHeight="1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637"/>
      <c r="V583" s="26"/>
      <c r="W583" s="26"/>
      <c r="X583" s="26"/>
      <c r="Y583" s="26"/>
      <c r="Z583" s="26"/>
    </row>
    <row r="584" ht="15.75" customHeight="1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637"/>
      <c r="V584" s="26"/>
      <c r="W584" s="26"/>
      <c r="X584" s="26"/>
      <c r="Y584" s="26"/>
      <c r="Z584" s="26"/>
    </row>
    <row r="585" ht="15.75" customHeight="1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637"/>
      <c r="V585" s="26"/>
      <c r="W585" s="26"/>
      <c r="X585" s="26"/>
      <c r="Y585" s="26"/>
      <c r="Z585" s="26"/>
    </row>
    <row r="586" ht="15.75" customHeight="1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637"/>
      <c r="V586" s="26"/>
      <c r="W586" s="26"/>
      <c r="X586" s="26"/>
      <c r="Y586" s="26"/>
      <c r="Z586" s="26"/>
    </row>
    <row r="587" ht="15.75" customHeight="1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637"/>
      <c r="V587" s="26"/>
      <c r="W587" s="26"/>
      <c r="X587" s="26"/>
      <c r="Y587" s="26"/>
      <c r="Z587" s="26"/>
    </row>
    <row r="588" ht="15.75" customHeight="1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637"/>
      <c r="V588" s="26"/>
      <c r="W588" s="26"/>
      <c r="X588" s="26"/>
      <c r="Y588" s="26"/>
      <c r="Z588" s="26"/>
    </row>
    <row r="589" ht="15.75" customHeight="1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637"/>
      <c r="V589" s="26"/>
      <c r="W589" s="26"/>
      <c r="X589" s="26"/>
      <c r="Y589" s="26"/>
      <c r="Z589" s="26"/>
    </row>
    <row r="590" ht="15.75" customHeight="1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637"/>
      <c r="V590" s="26"/>
      <c r="W590" s="26"/>
      <c r="X590" s="26"/>
      <c r="Y590" s="26"/>
      <c r="Z590" s="26"/>
    </row>
    <row r="591" ht="15.75" customHeight="1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637"/>
      <c r="V591" s="26"/>
      <c r="W591" s="26"/>
      <c r="X591" s="26"/>
      <c r="Y591" s="26"/>
      <c r="Z591" s="26"/>
    </row>
    <row r="592" ht="15.75" customHeight="1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637"/>
      <c r="V592" s="26"/>
      <c r="W592" s="26"/>
      <c r="X592" s="26"/>
      <c r="Y592" s="26"/>
      <c r="Z592" s="26"/>
    </row>
    <row r="593" ht="15.75" customHeight="1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637"/>
      <c r="V593" s="26"/>
      <c r="W593" s="26"/>
      <c r="X593" s="26"/>
      <c r="Y593" s="26"/>
      <c r="Z593" s="26"/>
    </row>
    <row r="594" ht="15.75" customHeight="1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637"/>
      <c r="V594" s="26"/>
      <c r="W594" s="26"/>
      <c r="X594" s="26"/>
      <c r="Y594" s="26"/>
      <c r="Z594" s="26"/>
    </row>
    <row r="595" ht="15.75" customHeight="1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637"/>
      <c r="V595" s="26"/>
      <c r="W595" s="26"/>
      <c r="X595" s="26"/>
      <c r="Y595" s="26"/>
      <c r="Z595" s="26"/>
    </row>
    <row r="596" ht="15.75" customHeight="1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637"/>
      <c r="V596" s="26"/>
      <c r="W596" s="26"/>
      <c r="X596" s="26"/>
      <c r="Y596" s="26"/>
      <c r="Z596" s="26"/>
    </row>
    <row r="597" ht="15.75" customHeight="1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637"/>
      <c r="V597" s="26"/>
      <c r="W597" s="26"/>
      <c r="X597" s="26"/>
      <c r="Y597" s="26"/>
      <c r="Z597" s="26"/>
    </row>
    <row r="598" ht="15.75" customHeight="1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637"/>
      <c r="V598" s="26"/>
      <c r="W598" s="26"/>
      <c r="X598" s="26"/>
      <c r="Y598" s="26"/>
      <c r="Z598" s="26"/>
    </row>
    <row r="599" ht="15.75" customHeight="1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637"/>
      <c r="V599" s="26"/>
      <c r="W599" s="26"/>
      <c r="X599" s="26"/>
      <c r="Y599" s="26"/>
      <c r="Z599" s="26"/>
    </row>
    <row r="600" ht="15.75" customHeight="1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637"/>
      <c r="V600" s="26"/>
      <c r="W600" s="26"/>
      <c r="X600" s="26"/>
      <c r="Y600" s="26"/>
      <c r="Z600" s="26"/>
    </row>
    <row r="601" ht="15.75" customHeight="1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637"/>
      <c r="V601" s="26"/>
      <c r="W601" s="26"/>
      <c r="X601" s="26"/>
      <c r="Y601" s="26"/>
      <c r="Z601" s="26"/>
    </row>
    <row r="602" ht="15.75" customHeight="1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637"/>
      <c r="V602" s="26"/>
      <c r="W602" s="26"/>
      <c r="X602" s="26"/>
      <c r="Y602" s="26"/>
      <c r="Z602" s="26"/>
    </row>
    <row r="603" ht="15.75" customHeight="1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637"/>
      <c r="V603" s="26"/>
      <c r="W603" s="26"/>
      <c r="X603" s="26"/>
      <c r="Y603" s="26"/>
      <c r="Z603" s="26"/>
    </row>
    <row r="604" ht="15.75" customHeight="1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637"/>
      <c r="V604" s="26"/>
      <c r="W604" s="26"/>
      <c r="X604" s="26"/>
      <c r="Y604" s="26"/>
      <c r="Z604" s="26"/>
    </row>
    <row r="605" ht="15.75" customHeight="1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637"/>
      <c r="V605" s="26"/>
      <c r="W605" s="26"/>
      <c r="X605" s="26"/>
      <c r="Y605" s="26"/>
      <c r="Z605" s="26"/>
    </row>
    <row r="606" ht="15.75" customHeight="1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637"/>
      <c r="V606" s="26"/>
      <c r="W606" s="26"/>
      <c r="X606" s="26"/>
      <c r="Y606" s="26"/>
      <c r="Z606" s="26"/>
    </row>
    <row r="607" ht="15.75" customHeight="1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637"/>
      <c r="V607" s="26"/>
      <c r="W607" s="26"/>
      <c r="X607" s="26"/>
      <c r="Y607" s="26"/>
      <c r="Z607" s="26"/>
    </row>
    <row r="608" ht="15.75" customHeight="1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637"/>
      <c r="V608" s="26"/>
      <c r="W608" s="26"/>
      <c r="X608" s="26"/>
      <c r="Y608" s="26"/>
      <c r="Z608" s="26"/>
    </row>
    <row r="609" ht="15.75" customHeight="1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637"/>
      <c r="V609" s="26"/>
      <c r="W609" s="26"/>
      <c r="X609" s="26"/>
      <c r="Y609" s="26"/>
      <c r="Z609" s="26"/>
    </row>
    <row r="610" ht="15.75" customHeight="1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637"/>
      <c r="V610" s="26"/>
      <c r="W610" s="26"/>
      <c r="X610" s="26"/>
      <c r="Y610" s="26"/>
      <c r="Z610" s="26"/>
    </row>
    <row r="611" ht="15.75" customHeight="1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637"/>
      <c r="V611" s="26"/>
      <c r="W611" s="26"/>
      <c r="X611" s="26"/>
      <c r="Y611" s="26"/>
      <c r="Z611" s="26"/>
    </row>
    <row r="612" ht="15.75" customHeight="1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637"/>
      <c r="V612" s="26"/>
      <c r="W612" s="26"/>
      <c r="X612" s="26"/>
      <c r="Y612" s="26"/>
      <c r="Z612" s="26"/>
    </row>
    <row r="613" ht="15.75" customHeight="1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637"/>
      <c r="V613" s="26"/>
      <c r="W613" s="26"/>
      <c r="X613" s="26"/>
      <c r="Y613" s="26"/>
      <c r="Z613" s="26"/>
    </row>
    <row r="614" ht="15.75" customHeight="1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637"/>
      <c r="V614" s="26"/>
      <c r="W614" s="26"/>
      <c r="X614" s="26"/>
      <c r="Y614" s="26"/>
      <c r="Z614" s="26"/>
    </row>
    <row r="615" ht="15.75" customHeight="1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637"/>
      <c r="V615" s="26"/>
      <c r="W615" s="26"/>
      <c r="X615" s="26"/>
      <c r="Y615" s="26"/>
      <c r="Z615" s="26"/>
    </row>
    <row r="616" ht="15.75" customHeight="1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637"/>
      <c r="V616" s="26"/>
      <c r="W616" s="26"/>
      <c r="X616" s="26"/>
      <c r="Y616" s="26"/>
      <c r="Z616" s="26"/>
    </row>
    <row r="617" ht="15.75" customHeight="1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637"/>
      <c r="V617" s="26"/>
      <c r="W617" s="26"/>
      <c r="X617" s="26"/>
      <c r="Y617" s="26"/>
      <c r="Z617" s="26"/>
    </row>
    <row r="618" ht="15.75" customHeight="1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637"/>
      <c r="V618" s="26"/>
      <c r="W618" s="26"/>
      <c r="X618" s="26"/>
      <c r="Y618" s="26"/>
      <c r="Z618" s="26"/>
    </row>
    <row r="619" ht="15.75" customHeight="1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637"/>
      <c r="V619" s="26"/>
      <c r="W619" s="26"/>
      <c r="X619" s="26"/>
      <c r="Y619" s="26"/>
      <c r="Z619" s="26"/>
    </row>
    <row r="620" ht="15.75" customHeight="1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637"/>
      <c r="V620" s="26"/>
      <c r="W620" s="26"/>
      <c r="X620" s="26"/>
      <c r="Y620" s="26"/>
      <c r="Z620" s="26"/>
    </row>
    <row r="621" ht="15.75" customHeight="1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637"/>
      <c r="V621" s="26"/>
      <c r="W621" s="26"/>
      <c r="X621" s="26"/>
      <c r="Y621" s="26"/>
      <c r="Z621" s="26"/>
    </row>
    <row r="622" ht="15.75" customHeight="1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637"/>
      <c r="V622" s="26"/>
      <c r="W622" s="26"/>
      <c r="X622" s="26"/>
      <c r="Y622" s="26"/>
      <c r="Z622" s="26"/>
    </row>
    <row r="623" ht="15.75" customHeight="1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637"/>
      <c r="V623" s="26"/>
      <c r="W623" s="26"/>
      <c r="X623" s="26"/>
      <c r="Y623" s="26"/>
      <c r="Z623" s="26"/>
    </row>
    <row r="624" ht="15.75" customHeight="1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637"/>
      <c r="V624" s="26"/>
      <c r="W624" s="26"/>
      <c r="X624" s="26"/>
      <c r="Y624" s="26"/>
      <c r="Z624" s="26"/>
    </row>
    <row r="625" ht="15.75" customHeight="1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637"/>
      <c r="V625" s="26"/>
      <c r="W625" s="26"/>
      <c r="X625" s="26"/>
      <c r="Y625" s="26"/>
      <c r="Z625" s="26"/>
    </row>
    <row r="626" ht="15.75" customHeight="1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637"/>
      <c r="V626" s="26"/>
      <c r="W626" s="26"/>
      <c r="X626" s="26"/>
      <c r="Y626" s="26"/>
      <c r="Z626" s="26"/>
    </row>
    <row r="627" ht="15.75" customHeight="1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637"/>
      <c r="V627" s="26"/>
      <c r="W627" s="26"/>
      <c r="X627" s="26"/>
      <c r="Y627" s="26"/>
      <c r="Z627" s="26"/>
    </row>
    <row r="628" ht="15.75" customHeight="1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637"/>
      <c r="V628" s="26"/>
      <c r="W628" s="26"/>
      <c r="X628" s="26"/>
      <c r="Y628" s="26"/>
      <c r="Z628" s="26"/>
    </row>
    <row r="629" ht="15.75" customHeight="1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637"/>
      <c r="V629" s="26"/>
      <c r="W629" s="26"/>
      <c r="X629" s="26"/>
      <c r="Y629" s="26"/>
      <c r="Z629" s="26"/>
    </row>
    <row r="630" ht="15.75" customHeight="1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637"/>
      <c r="V630" s="26"/>
      <c r="W630" s="26"/>
      <c r="X630" s="26"/>
      <c r="Y630" s="26"/>
      <c r="Z630" s="26"/>
    </row>
    <row r="631" ht="15.75" customHeight="1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637"/>
      <c r="V631" s="26"/>
      <c r="W631" s="26"/>
      <c r="X631" s="26"/>
      <c r="Y631" s="26"/>
      <c r="Z631" s="26"/>
    </row>
    <row r="632" ht="15.75" customHeight="1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637"/>
      <c r="V632" s="26"/>
      <c r="W632" s="26"/>
      <c r="X632" s="26"/>
      <c r="Y632" s="26"/>
      <c r="Z632" s="26"/>
    </row>
    <row r="633" ht="15.75" customHeight="1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637"/>
      <c r="V633" s="26"/>
      <c r="W633" s="26"/>
      <c r="X633" s="26"/>
      <c r="Y633" s="26"/>
      <c r="Z633" s="26"/>
    </row>
    <row r="634" ht="15.75" customHeight="1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637"/>
      <c r="V634" s="26"/>
      <c r="W634" s="26"/>
      <c r="X634" s="26"/>
      <c r="Y634" s="26"/>
      <c r="Z634" s="26"/>
    </row>
    <row r="635" ht="15.75" customHeight="1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637"/>
      <c r="V635" s="26"/>
      <c r="W635" s="26"/>
      <c r="X635" s="26"/>
      <c r="Y635" s="26"/>
      <c r="Z635" s="26"/>
    </row>
    <row r="636" ht="15.75" customHeight="1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637"/>
      <c r="V636" s="26"/>
      <c r="W636" s="26"/>
      <c r="X636" s="26"/>
      <c r="Y636" s="26"/>
      <c r="Z636" s="26"/>
    </row>
    <row r="637" ht="15.75" customHeight="1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637"/>
      <c r="V637" s="26"/>
      <c r="W637" s="26"/>
      <c r="X637" s="26"/>
      <c r="Y637" s="26"/>
      <c r="Z637" s="26"/>
    </row>
    <row r="638" ht="15.75" customHeight="1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637"/>
      <c r="V638" s="26"/>
      <c r="W638" s="26"/>
      <c r="X638" s="26"/>
      <c r="Y638" s="26"/>
      <c r="Z638" s="26"/>
    </row>
    <row r="639" ht="15.75" customHeight="1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637"/>
      <c r="V639" s="26"/>
      <c r="W639" s="26"/>
      <c r="X639" s="26"/>
      <c r="Y639" s="26"/>
      <c r="Z639" s="26"/>
    </row>
    <row r="640" ht="15.75" customHeight="1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637"/>
      <c r="V640" s="26"/>
      <c r="W640" s="26"/>
      <c r="X640" s="26"/>
      <c r="Y640" s="26"/>
      <c r="Z640" s="26"/>
    </row>
    <row r="641" ht="15.75" customHeight="1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637"/>
      <c r="V641" s="26"/>
      <c r="W641" s="26"/>
      <c r="X641" s="26"/>
      <c r="Y641" s="26"/>
      <c r="Z641" s="26"/>
    </row>
    <row r="642" ht="15.75" customHeight="1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637"/>
      <c r="V642" s="26"/>
      <c r="W642" s="26"/>
      <c r="X642" s="26"/>
      <c r="Y642" s="26"/>
      <c r="Z642" s="26"/>
    </row>
    <row r="643" ht="15.75" customHeight="1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637"/>
      <c r="V643" s="26"/>
      <c r="W643" s="26"/>
      <c r="X643" s="26"/>
      <c r="Y643" s="26"/>
      <c r="Z643" s="26"/>
    </row>
    <row r="644" ht="15.75" customHeight="1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637"/>
      <c r="V644" s="26"/>
      <c r="W644" s="26"/>
      <c r="X644" s="26"/>
      <c r="Y644" s="26"/>
      <c r="Z644" s="26"/>
    </row>
    <row r="645" ht="15.75" customHeight="1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637"/>
      <c r="V645" s="26"/>
      <c r="W645" s="26"/>
      <c r="X645" s="26"/>
      <c r="Y645" s="26"/>
      <c r="Z645" s="26"/>
    </row>
    <row r="646" ht="15.75" customHeight="1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637"/>
      <c r="V646" s="26"/>
      <c r="W646" s="26"/>
      <c r="X646" s="26"/>
      <c r="Y646" s="26"/>
      <c r="Z646" s="26"/>
    </row>
    <row r="647" ht="15.75" customHeight="1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637"/>
      <c r="V647" s="26"/>
      <c r="W647" s="26"/>
      <c r="X647" s="26"/>
      <c r="Y647" s="26"/>
      <c r="Z647" s="26"/>
    </row>
    <row r="648" ht="15.75" customHeight="1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637"/>
      <c r="V648" s="26"/>
      <c r="W648" s="26"/>
      <c r="X648" s="26"/>
      <c r="Y648" s="26"/>
      <c r="Z648" s="26"/>
    </row>
    <row r="649" ht="15.75" customHeight="1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637"/>
      <c r="V649" s="26"/>
      <c r="W649" s="26"/>
      <c r="X649" s="26"/>
      <c r="Y649" s="26"/>
      <c r="Z649" s="26"/>
    </row>
    <row r="650" ht="15.75" customHeight="1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637"/>
      <c r="V650" s="26"/>
      <c r="W650" s="26"/>
      <c r="X650" s="26"/>
      <c r="Y650" s="26"/>
      <c r="Z650" s="26"/>
    </row>
    <row r="651" ht="15.75" customHeight="1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637"/>
      <c r="V651" s="26"/>
      <c r="W651" s="26"/>
      <c r="X651" s="26"/>
      <c r="Y651" s="26"/>
      <c r="Z651" s="26"/>
    </row>
    <row r="652" ht="15.75" customHeight="1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637"/>
      <c r="V652" s="26"/>
      <c r="W652" s="26"/>
      <c r="X652" s="26"/>
      <c r="Y652" s="26"/>
      <c r="Z652" s="26"/>
    </row>
    <row r="653" ht="15.75" customHeight="1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637"/>
      <c r="V653" s="26"/>
      <c r="W653" s="26"/>
      <c r="X653" s="26"/>
      <c r="Y653" s="26"/>
      <c r="Z653" s="26"/>
    </row>
    <row r="654" ht="15.75" customHeight="1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637"/>
      <c r="V654" s="26"/>
      <c r="W654" s="26"/>
      <c r="X654" s="26"/>
      <c r="Y654" s="26"/>
      <c r="Z654" s="26"/>
    </row>
    <row r="655" ht="15.75" customHeight="1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637"/>
      <c r="V655" s="26"/>
      <c r="W655" s="26"/>
      <c r="X655" s="26"/>
      <c r="Y655" s="26"/>
      <c r="Z655" s="26"/>
    </row>
    <row r="656" ht="15.75" customHeight="1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637"/>
      <c r="V656" s="26"/>
      <c r="W656" s="26"/>
      <c r="X656" s="26"/>
      <c r="Y656" s="26"/>
      <c r="Z656" s="26"/>
    </row>
    <row r="657" ht="15.75" customHeight="1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637"/>
      <c r="V657" s="26"/>
      <c r="W657" s="26"/>
      <c r="X657" s="26"/>
      <c r="Y657" s="26"/>
      <c r="Z657" s="26"/>
    </row>
    <row r="658" ht="15.75" customHeight="1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637"/>
      <c r="V658" s="26"/>
      <c r="W658" s="26"/>
      <c r="X658" s="26"/>
      <c r="Y658" s="26"/>
      <c r="Z658" s="26"/>
    </row>
    <row r="659" ht="15.75" customHeight="1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637"/>
      <c r="V659" s="26"/>
      <c r="W659" s="26"/>
      <c r="X659" s="26"/>
      <c r="Y659" s="26"/>
      <c r="Z659" s="26"/>
    </row>
    <row r="660" ht="15.75" customHeight="1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637"/>
      <c r="V660" s="26"/>
      <c r="W660" s="26"/>
      <c r="X660" s="26"/>
      <c r="Y660" s="26"/>
      <c r="Z660" s="26"/>
    </row>
    <row r="661" ht="15.75" customHeight="1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637"/>
      <c r="V661" s="26"/>
      <c r="W661" s="26"/>
      <c r="X661" s="26"/>
      <c r="Y661" s="26"/>
      <c r="Z661" s="26"/>
    </row>
    <row r="662" ht="15.75" customHeight="1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637"/>
      <c r="V662" s="26"/>
      <c r="W662" s="26"/>
      <c r="X662" s="26"/>
      <c r="Y662" s="26"/>
      <c r="Z662" s="26"/>
    </row>
    <row r="663" ht="15.75" customHeight="1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637"/>
      <c r="V663" s="26"/>
      <c r="W663" s="26"/>
      <c r="X663" s="26"/>
      <c r="Y663" s="26"/>
      <c r="Z663" s="26"/>
    </row>
    <row r="664" ht="15.75" customHeight="1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637"/>
      <c r="V664" s="26"/>
      <c r="W664" s="26"/>
      <c r="X664" s="26"/>
      <c r="Y664" s="26"/>
      <c r="Z664" s="26"/>
    </row>
    <row r="665" ht="15.75" customHeight="1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637"/>
      <c r="V665" s="26"/>
      <c r="W665" s="26"/>
      <c r="X665" s="26"/>
      <c r="Y665" s="26"/>
      <c r="Z665" s="26"/>
    </row>
    <row r="666" ht="15.75" customHeight="1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637"/>
      <c r="V666" s="26"/>
      <c r="W666" s="26"/>
      <c r="X666" s="26"/>
      <c r="Y666" s="26"/>
      <c r="Z666" s="26"/>
    </row>
    <row r="667" ht="15.75" customHeight="1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637"/>
      <c r="V667" s="26"/>
      <c r="W667" s="26"/>
      <c r="X667" s="26"/>
      <c r="Y667" s="26"/>
      <c r="Z667" s="26"/>
    </row>
    <row r="668" ht="15.75" customHeight="1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637"/>
      <c r="V668" s="26"/>
      <c r="W668" s="26"/>
      <c r="X668" s="26"/>
      <c r="Y668" s="26"/>
      <c r="Z668" s="26"/>
    </row>
    <row r="669" ht="15.75" customHeight="1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637"/>
      <c r="V669" s="26"/>
      <c r="W669" s="26"/>
      <c r="X669" s="26"/>
      <c r="Y669" s="26"/>
      <c r="Z669" s="26"/>
    </row>
    <row r="670" ht="15.75" customHeight="1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637"/>
      <c r="V670" s="26"/>
      <c r="W670" s="26"/>
      <c r="X670" s="26"/>
      <c r="Y670" s="26"/>
      <c r="Z670" s="26"/>
    </row>
    <row r="671" ht="15.75" customHeight="1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637"/>
      <c r="V671" s="26"/>
      <c r="W671" s="26"/>
      <c r="X671" s="26"/>
      <c r="Y671" s="26"/>
      <c r="Z671" s="26"/>
    </row>
    <row r="672" ht="15.75" customHeight="1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637"/>
      <c r="V672" s="26"/>
      <c r="W672" s="26"/>
      <c r="X672" s="26"/>
      <c r="Y672" s="26"/>
      <c r="Z672" s="26"/>
    </row>
    <row r="673" ht="15.75" customHeight="1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637"/>
      <c r="V673" s="26"/>
      <c r="W673" s="26"/>
      <c r="X673" s="26"/>
      <c r="Y673" s="26"/>
      <c r="Z673" s="26"/>
    </row>
    <row r="674" ht="15.75" customHeight="1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637"/>
      <c r="V674" s="26"/>
      <c r="W674" s="26"/>
      <c r="X674" s="26"/>
      <c r="Y674" s="26"/>
      <c r="Z674" s="26"/>
    </row>
    <row r="675" ht="15.75" customHeight="1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637"/>
      <c r="V675" s="26"/>
      <c r="W675" s="26"/>
      <c r="X675" s="26"/>
      <c r="Y675" s="26"/>
      <c r="Z675" s="26"/>
    </row>
    <row r="676" ht="15.75" customHeight="1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637"/>
      <c r="V676" s="26"/>
      <c r="W676" s="26"/>
      <c r="X676" s="26"/>
      <c r="Y676" s="26"/>
      <c r="Z676" s="26"/>
    </row>
    <row r="677" ht="15.75" customHeight="1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637"/>
      <c r="V677" s="26"/>
      <c r="W677" s="26"/>
      <c r="X677" s="26"/>
      <c r="Y677" s="26"/>
      <c r="Z677" s="26"/>
    </row>
    <row r="678" ht="15.75" customHeight="1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637"/>
      <c r="V678" s="26"/>
      <c r="W678" s="26"/>
      <c r="X678" s="26"/>
      <c r="Y678" s="26"/>
      <c r="Z678" s="26"/>
    </row>
    <row r="679" ht="15.75" customHeight="1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637"/>
      <c r="V679" s="26"/>
      <c r="W679" s="26"/>
      <c r="X679" s="26"/>
      <c r="Y679" s="26"/>
      <c r="Z679" s="26"/>
    </row>
    <row r="680" ht="15.75" customHeight="1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637"/>
      <c r="V680" s="26"/>
      <c r="W680" s="26"/>
      <c r="X680" s="26"/>
      <c r="Y680" s="26"/>
      <c r="Z680" s="26"/>
    </row>
    <row r="681" ht="15.75" customHeight="1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637"/>
      <c r="V681" s="26"/>
      <c r="W681" s="26"/>
      <c r="X681" s="26"/>
      <c r="Y681" s="26"/>
      <c r="Z681" s="26"/>
    </row>
    <row r="682" ht="15.75" customHeight="1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637"/>
      <c r="V682" s="26"/>
      <c r="W682" s="26"/>
      <c r="X682" s="26"/>
      <c r="Y682" s="26"/>
      <c r="Z682" s="26"/>
    </row>
    <row r="683" ht="15.75" customHeight="1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637"/>
      <c r="V683" s="26"/>
      <c r="W683" s="26"/>
      <c r="X683" s="26"/>
      <c r="Y683" s="26"/>
      <c r="Z683" s="26"/>
    </row>
    <row r="684" ht="15.75" customHeight="1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637"/>
      <c r="V684" s="26"/>
      <c r="W684" s="26"/>
      <c r="X684" s="26"/>
      <c r="Y684" s="26"/>
      <c r="Z684" s="26"/>
    </row>
    <row r="685" ht="15.75" customHeight="1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637"/>
      <c r="V685" s="26"/>
      <c r="W685" s="26"/>
      <c r="X685" s="26"/>
      <c r="Y685" s="26"/>
      <c r="Z685" s="26"/>
    </row>
    <row r="686" ht="15.75" customHeight="1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637"/>
      <c r="V686" s="26"/>
      <c r="W686" s="26"/>
      <c r="X686" s="26"/>
      <c r="Y686" s="26"/>
      <c r="Z686" s="26"/>
    </row>
    <row r="687" ht="15.75" customHeight="1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637"/>
      <c r="V687" s="26"/>
      <c r="W687" s="26"/>
      <c r="X687" s="26"/>
      <c r="Y687" s="26"/>
      <c r="Z687" s="26"/>
    </row>
    <row r="688" ht="15.75" customHeight="1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637"/>
      <c r="V688" s="26"/>
      <c r="W688" s="26"/>
      <c r="X688" s="26"/>
      <c r="Y688" s="26"/>
      <c r="Z688" s="26"/>
    </row>
    <row r="689" ht="15.75" customHeight="1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637"/>
      <c r="V689" s="26"/>
      <c r="W689" s="26"/>
      <c r="X689" s="26"/>
      <c r="Y689" s="26"/>
      <c r="Z689" s="26"/>
    </row>
    <row r="690" ht="15.75" customHeight="1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637"/>
      <c r="V690" s="26"/>
      <c r="W690" s="26"/>
      <c r="X690" s="26"/>
      <c r="Y690" s="26"/>
      <c r="Z690" s="26"/>
    </row>
    <row r="691" ht="15.75" customHeight="1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637"/>
      <c r="V691" s="26"/>
      <c r="W691" s="26"/>
      <c r="X691" s="26"/>
      <c r="Y691" s="26"/>
      <c r="Z691" s="26"/>
    </row>
    <row r="692" ht="15.75" customHeight="1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637"/>
      <c r="V692" s="26"/>
      <c r="W692" s="26"/>
      <c r="X692" s="26"/>
      <c r="Y692" s="26"/>
      <c r="Z692" s="26"/>
    </row>
    <row r="693" ht="15.75" customHeight="1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637"/>
      <c r="V693" s="26"/>
      <c r="W693" s="26"/>
      <c r="X693" s="26"/>
      <c r="Y693" s="26"/>
      <c r="Z693" s="26"/>
    </row>
    <row r="694" ht="15.75" customHeight="1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637"/>
      <c r="V694" s="26"/>
      <c r="W694" s="26"/>
      <c r="X694" s="26"/>
      <c r="Y694" s="26"/>
      <c r="Z694" s="26"/>
    </row>
    <row r="695" ht="15.75" customHeight="1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637"/>
      <c r="V695" s="26"/>
      <c r="W695" s="26"/>
      <c r="X695" s="26"/>
      <c r="Y695" s="26"/>
      <c r="Z695" s="26"/>
    </row>
    <row r="696" ht="15.75" customHeight="1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637"/>
      <c r="V696" s="26"/>
      <c r="W696" s="26"/>
      <c r="X696" s="26"/>
      <c r="Y696" s="26"/>
      <c r="Z696" s="26"/>
    </row>
    <row r="697" ht="15.75" customHeight="1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637"/>
      <c r="V697" s="26"/>
      <c r="W697" s="26"/>
      <c r="X697" s="26"/>
      <c r="Y697" s="26"/>
      <c r="Z697" s="26"/>
    </row>
    <row r="698" ht="15.75" customHeight="1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637"/>
      <c r="V698" s="26"/>
      <c r="W698" s="26"/>
      <c r="X698" s="26"/>
      <c r="Y698" s="26"/>
      <c r="Z698" s="26"/>
    </row>
    <row r="699" ht="15.75" customHeight="1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637"/>
      <c r="V699" s="26"/>
      <c r="W699" s="26"/>
      <c r="X699" s="26"/>
      <c r="Y699" s="26"/>
      <c r="Z699" s="26"/>
    </row>
    <row r="700" ht="15.75" customHeight="1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637"/>
      <c r="V700" s="26"/>
      <c r="W700" s="26"/>
      <c r="X700" s="26"/>
      <c r="Y700" s="26"/>
      <c r="Z700" s="26"/>
    </row>
    <row r="701" ht="15.75" customHeight="1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637"/>
      <c r="V701" s="26"/>
      <c r="W701" s="26"/>
      <c r="X701" s="26"/>
      <c r="Y701" s="26"/>
      <c r="Z701" s="26"/>
    </row>
    <row r="702" ht="15.75" customHeight="1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637"/>
      <c r="V702" s="26"/>
      <c r="W702" s="26"/>
      <c r="X702" s="26"/>
      <c r="Y702" s="26"/>
      <c r="Z702" s="26"/>
    </row>
    <row r="703" ht="15.75" customHeight="1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637"/>
      <c r="V703" s="26"/>
      <c r="W703" s="26"/>
      <c r="X703" s="26"/>
      <c r="Y703" s="26"/>
      <c r="Z703" s="26"/>
    </row>
    <row r="704" ht="15.75" customHeight="1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637"/>
      <c r="V704" s="26"/>
      <c r="W704" s="26"/>
      <c r="X704" s="26"/>
      <c r="Y704" s="26"/>
      <c r="Z704" s="26"/>
    </row>
    <row r="705" ht="15.75" customHeight="1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637"/>
      <c r="V705" s="26"/>
      <c r="W705" s="26"/>
      <c r="X705" s="26"/>
      <c r="Y705" s="26"/>
      <c r="Z705" s="26"/>
    </row>
    <row r="706" ht="15.75" customHeight="1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637"/>
      <c r="V706" s="26"/>
      <c r="W706" s="26"/>
      <c r="X706" s="26"/>
      <c r="Y706" s="26"/>
      <c r="Z706" s="26"/>
    </row>
    <row r="707" ht="15.75" customHeight="1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637"/>
      <c r="V707" s="26"/>
      <c r="W707" s="26"/>
      <c r="X707" s="26"/>
      <c r="Y707" s="26"/>
      <c r="Z707" s="26"/>
    </row>
    <row r="708" ht="15.75" customHeight="1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637"/>
      <c r="V708" s="26"/>
      <c r="W708" s="26"/>
      <c r="X708" s="26"/>
      <c r="Y708" s="26"/>
      <c r="Z708" s="26"/>
    </row>
    <row r="709" ht="15.75" customHeight="1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637"/>
      <c r="V709" s="26"/>
      <c r="W709" s="26"/>
      <c r="X709" s="26"/>
      <c r="Y709" s="26"/>
      <c r="Z709" s="26"/>
    </row>
    <row r="710" ht="15.75" customHeight="1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637"/>
      <c r="V710" s="26"/>
      <c r="W710" s="26"/>
      <c r="X710" s="26"/>
      <c r="Y710" s="26"/>
      <c r="Z710" s="26"/>
    </row>
    <row r="711" ht="15.75" customHeight="1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637"/>
      <c r="V711" s="26"/>
      <c r="W711" s="26"/>
      <c r="X711" s="26"/>
      <c r="Y711" s="26"/>
      <c r="Z711" s="26"/>
    </row>
    <row r="712" ht="15.75" customHeight="1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637"/>
      <c r="V712" s="26"/>
      <c r="W712" s="26"/>
      <c r="X712" s="26"/>
      <c r="Y712" s="26"/>
      <c r="Z712" s="26"/>
    </row>
    <row r="713" ht="15.75" customHeight="1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637"/>
      <c r="V713" s="26"/>
      <c r="W713" s="26"/>
      <c r="X713" s="26"/>
      <c r="Y713" s="26"/>
      <c r="Z713" s="26"/>
    </row>
    <row r="714" ht="15.75" customHeight="1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637"/>
      <c r="V714" s="26"/>
      <c r="W714" s="26"/>
      <c r="X714" s="26"/>
      <c r="Y714" s="26"/>
      <c r="Z714" s="26"/>
    </row>
    <row r="715" ht="15.75" customHeight="1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637"/>
      <c r="V715" s="26"/>
      <c r="W715" s="26"/>
      <c r="X715" s="26"/>
      <c r="Y715" s="26"/>
      <c r="Z715" s="26"/>
    </row>
    <row r="716" ht="15.75" customHeight="1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637"/>
      <c r="V716" s="26"/>
      <c r="W716" s="26"/>
      <c r="X716" s="26"/>
      <c r="Y716" s="26"/>
      <c r="Z716" s="26"/>
    </row>
    <row r="717" ht="15.75" customHeight="1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637"/>
      <c r="V717" s="26"/>
      <c r="W717" s="26"/>
      <c r="X717" s="26"/>
      <c r="Y717" s="26"/>
      <c r="Z717" s="26"/>
    </row>
    <row r="718" ht="15.75" customHeight="1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637"/>
      <c r="V718" s="26"/>
      <c r="W718" s="26"/>
      <c r="X718" s="26"/>
      <c r="Y718" s="26"/>
      <c r="Z718" s="26"/>
    </row>
    <row r="719" ht="15.75" customHeight="1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637"/>
      <c r="V719" s="26"/>
      <c r="W719" s="26"/>
      <c r="X719" s="26"/>
      <c r="Y719" s="26"/>
      <c r="Z719" s="26"/>
    </row>
    <row r="720" ht="15.75" customHeight="1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637"/>
      <c r="V720" s="26"/>
      <c r="W720" s="26"/>
      <c r="X720" s="26"/>
      <c r="Y720" s="26"/>
      <c r="Z720" s="26"/>
    </row>
    <row r="721" ht="15.75" customHeight="1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637"/>
      <c r="V721" s="26"/>
      <c r="W721" s="26"/>
      <c r="X721" s="26"/>
      <c r="Y721" s="26"/>
      <c r="Z721" s="26"/>
    </row>
    <row r="722" ht="15.75" customHeight="1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637"/>
      <c r="V722" s="26"/>
      <c r="W722" s="26"/>
      <c r="X722" s="26"/>
      <c r="Y722" s="26"/>
      <c r="Z722" s="26"/>
    </row>
    <row r="723" ht="15.75" customHeight="1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637"/>
      <c r="V723" s="26"/>
      <c r="W723" s="26"/>
      <c r="X723" s="26"/>
      <c r="Y723" s="26"/>
      <c r="Z723" s="26"/>
    </row>
    <row r="724" ht="15.75" customHeight="1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637"/>
      <c r="V724" s="26"/>
      <c r="W724" s="26"/>
      <c r="X724" s="26"/>
      <c r="Y724" s="26"/>
      <c r="Z724" s="26"/>
    </row>
    <row r="725" ht="15.75" customHeight="1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637"/>
      <c r="V725" s="26"/>
      <c r="W725" s="26"/>
      <c r="X725" s="26"/>
      <c r="Y725" s="26"/>
      <c r="Z725" s="26"/>
    </row>
    <row r="726" ht="15.75" customHeight="1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637"/>
      <c r="V726" s="26"/>
      <c r="W726" s="26"/>
      <c r="X726" s="26"/>
      <c r="Y726" s="26"/>
      <c r="Z726" s="26"/>
    </row>
    <row r="727" ht="15.75" customHeight="1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637"/>
      <c r="V727" s="26"/>
      <c r="W727" s="26"/>
      <c r="X727" s="26"/>
      <c r="Y727" s="26"/>
      <c r="Z727" s="26"/>
    </row>
    <row r="728" ht="15.75" customHeight="1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637"/>
      <c r="V728" s="26"/>
      <c r="W728" s="26"/>
      <c r="X728" s="26"/>
      <c r="Y728" s="26"/>
      <c r="Z728" s="26"/>
    </row>
    <row r="729" ht="15.75" customHeight="1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637"/>
      <c r="V729" s="26"/>
      <c r="W729" s="26"/>
      <c r="X729" s="26"/>
      <c r="Y729" s="26"/>
      <c r="Z729" s="26"/>
    </row>
    <row r="730" ht="15.75" customHeight="1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637"/>
      <c r="V730" s="26"/>
      <c r="W730" s="26"/>
      <c r="X730" s="26"/>
      <c r="Y730" s="26"/>
      <c r="Z730" s="26"/>
    </row>
    <row r="731" ht="15.75" customHeight="1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637"/>
      <c r="V731" s="26"/>
      <c r="W731" s="26"/>
      <c r="X731" s="26"/>
      <c r="Y731" s="26"/>
      <c r="Z731" s="26"/>
    </row>
    <row r="732" ht="15.75" customHeight="1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637"/>
      <c r="V732" s="26"/>
      <c r="W732" s="26"/>
      <c r="X732" s="26"/>
      <c r="Y732" s="26"/>
      <c r="Z732" s="26"/>
    </row>
    <row r="733" ht="15.75" customHeight="1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637"/>
      <c r="V733" s="26"/>
      <c r="W733" s="26"/>
      <c r="X733" s="26"/>
      <c r="Y733" s="26"/>
      <c r="Z733" s="26"/>
    </row>
    <row r="734" ht="15.75" customHeight="1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637"/>
      <c r="V734" s="26"/>
      <c r="W734" s="26"/>
      <c r="X734" s="26"/>
      <c r="Y734" s="26"/>
      <c r="Z734" s="26"/>
    </row>
    <row r="735" ht="15.75" customHeight="1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637"/>
      <c r="V735" s="26"/>
      <c r="W735" s="26"/>
      <c r="X735" s="26"/>
      <c r="Y735" s="26"/>
      <c r="Z735" s="26"/>
    </row>
    <row r="736" ht="15.75" customHeight="1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637"/>
      <c r="V736" s="26"/>
      <c r="W736" s="26"/>
      <c r="X736" s="26"/>
      <c r="Y736" s="26"/>
      <c r="Z736" s="26"/>
    </row>
    <row r="737" ht="15.75" customHeight="1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637"/>
      <c r="V737" s="26"/>
      <c r="W737" s="26"/>
      <c r="X737" s="26"/>
      <c r="Y737" s="26"/>
      <c r="Z737" s="26"/>
    </row>
    <row r="738" ht="15.75" customHeight="1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637"/>
      <c r="V738" s="26"/>
      <c r="W738" s="26"/>
      <c r="X738" s="26"/>
      <c r="Y738" s="26"/>
      <c r="Z738" s="26"/>
    </row>
    <row r="739" ht="15.75" customHeight="1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637"/>
      <c r="V739" s="26"/>
      <c r="W739" s="26"/>
      <c r="X739" s="26"/>
      <c r="Y739" s="26"/>
      <c r="Z739" s="26"/>
    </row>
    <row r="740" ht="15.75" customHeight="1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637"/>
      <c r="V740" s="26"/>
      <c r="W740" s="26"/>
      <c r="X740" s="26"/>
      <c r="Y740" s="26"/>
      <c r="Z740" s="26"/>
    </row>
    <row r="741" ht="15.75" customHeight="1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637"/>
      <c r="V741" s="26"/>
      <c r="W741" s="26"/>
      <c r="X741" s="26"/>
      <c r="Y741" s="26"/>
      <c r="Z741" s="26"/>
    </row>
    <row r="742" ht="15.75" customHeight="1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637"/>
      <c r="V742" s="26"/>
      <c r="W742" s="26"/>
      <c r="X742" s="26"/>
      <c r="Y742" s="26"/>
      <c r="Z742" s="26"/>
    </row>
    <row r="743" ht="15.75" customHeight="1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637"/>
      <c r="V743" s="26"/>
      <c r="W743" s="26"/>
      <c r="X743" s="26"/>
      <c r="Y743" s="26"/>
      <c r="Z743" s="26"/>
    </row>
    <row r="744" ht="15.75" customHeight="1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637"/>
      <c r="V744" s="26"/>
      <c r="W744" s="26"/>
      <c r="X744" s="26"/>
      <c r="Y744" s="26"/>
      <c r="Z744" s="26"/>
    </row>
    <row r="745" ht="15.75" customHeight="1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637"/>
      <c r="V745" s="26"/>
      <c r="W745" s="26"/>
      <c r="X745" s="26"/>
      <c r="Y745" s="26"/>
      <c r="Z745" s="26"/>
    </row>
    <row r="746" ht="15.75" customHeight="1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637"/>
      <c r="V746" s="26"/>
      <c r="W746" s="26"/>
      <c r="X746" s="26"/>
      <c r="Y746" s="26"/>
      <c r="Z746" s="26"/>
    </row>
    <row r="747" ht="15.75" customHeight="1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637"/>
      <c r="V747" s="26"/>
      <c r="W747" s="26"/>
      <c r="X747" s="26"/>
      <c r="Y747" s="26"/>
      <c r="Z747" s="26"/>
    </row>
    <row r="748" ht="15.75" customHeight="1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637"/>
      <c r="V748" s="26"/>
      <c r="W748" s="26"/>
      <c r="X748" s="26"/>
      <c r="Y748" s="26"/>
      <c r="Z748" s="26"/>
    </row>
    <row r="749" ht="15.75" customHeight="1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637"/>
      <c r="V749" s="26"/>
      <c r="W749" s="26"/>
      <c r="X749" s="26"/>
      <c r="Y749" s="26"/>
      <c r="Z749" s="26"/>
    </row>
    <row r="750" ht="15.75" customHeight="1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637"/>
      <c r="V750" s="26"/>
      <c r="W750" s="26"/>
      <c r="X750" s="26"/>
      <c r="Y750" s="26"/>
      <c r="Z750" s="26"/>
    </row>
    <row r="751" ht="15.75" customHeight="1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637"/>
      <c r="V751" s="26"/>
      <c r="W751" s="26"/>
      <c r="X751" s="26"/>
      <c r="Y751" s="26"/>
      <c r="Z751" s="26"/>
    </row>
    <row r="752" ht="15.75" customHeight="1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637"/>
      <c r="V752" s="26"/>
      <c r="W752" s="26"/>
      <c r="X752" s="26"/>
      <c r="Y752" s="26"/>
      <c r="Z752" s="26"/>
    </row>
    <row r="753" ht="15.75" customHeight="1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637"/>
      <c r="V753" s="26"/>
      <c r="W753" s="26"/>
      <c r="X753" s="26"/>
      <c r="Y753" s="26"/>
      <c r="Z753" s="26"/>
    </row>
    <row r="754" ht="15.75" customHeight="1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637"/>
      <c r="V754" s="26"/>
      <c r="W754" s="26"/>
      <c r="X754" s="26"/>
      <c r="Y754" s="26"/>
      <c r="Z754" s="26"/>
    </row>
    <row r="755" ht="15.75" customHeight="1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637"/>
      <c r="V755" s="26"/>
      <c r="W755" s="26"/>
      <c r="X755" s="26"/>
      <c r="Y755" s="26"/>
      <c r="Z755" s="26"/>
    </row>
    <row r="756" ht="15.75" customHeight="1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637"/>
      <c r="V756" s="26"/>
      <c r="W756" s="26"/>
      <c r="X756" s="26"/>
      <c r="Y756" s="26"/>
      <c r="Z756" s="26"/>
    </row>
    <row r="757" ht="15.75" customHeight="1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637"/>
      <c r="V757" s="26"/>
      <c r="W757" s="26"/>
      <c r="X757" s="26"/>
      <c r="Y757" s="26"/>
      <c r="Z757" s="26"/>
    </row>
    <row r="758" ht="15.75" customHeight="1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637"/>
      <c r="V758" s="26"/>
      <c r="W758" s="26"/>
      <c r="X758" s="26"/>
      <c r="Y758" s="26"/>
      <c r="Z758" s="26"/>
    </row>
    <row r="759" ht="15.75" customHeight="1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637"/>
      <c r="V759" s="26"/>
      <c r="W759" s="26"/>
      <c r="X759" s="26"/>
      <c r="Y759" s="26"/>
      <c r="Z759" s="26"/>
    </row>
    <row r="760" ht="15.75" customHeight="1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637"/>
      <c r="V760" s="26"/>
      <c r="W760" s="26"/>
      <c r="X760" s="26"/>
      <c r="Y760" s="26"/>
      <c r="Z760" s="26"/>
    </row>
    <row r="761" ht="15.75" customHeight="1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637"/>
      <c r="V761" s="26"/>
      <c r="W761" s="26"/>
      <c r="X761" s="26"/>
      <c r="Y761" s="26"/>
      <c r="Z761" s="26"/>
    </row>
    <row r="762" ht="15.75" customHeight="1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637"/>
      <c r="V762" s="26"/>
      <c r="W762" s="26"/>
      <c r="X762" s="26"/>
      <c r="Y762" s="26"/>
      <c r="Z762" s="26"/>
    </row>
    <row r="763" ht="15.75" customHeight="1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637"/>
      <c r="V763" s="26"/>
      <c r="W763" s="26"/>
      <c r="X763" s="26"/>
      <c r="Y763" s="26"/>
      <c r="Z763" s="26"/>
    </row>
    <row r="764" ht="15.75" customHeight="1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637"/>
      <c r="V764" s="26"/>
      <c r="W764" s="26"/>
      <c r="X764" s="26"/>
      <c r="Y764" s="26"/>
      <c r="Z764" s="26"/>
    </row>
    <row r="765" ht="15.75" customHeight="1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637"/>
      <c r="V765" s="26"/>
      <c r="W765" s="26"/>
      <c r="X765" s="26"/>
      <c r="Y765" s="26"/>
      <c r="Z765" s="26"/>
    </row>
    <row r="766" ht="15.75" customHeight="1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637"/>
      <c r="V766" s="26"/>
      <c r="W766" s="26"/>
      <c r="X766" s="26"/>
      <c r="Y766" s="26"/>
      <c r="Z766" s="26"/>
    </row>
    <row r="767" ht="15.75" customHeight="1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637"/>
      <c r="V767" s="26"/>
      <c r="W767" s="26"/>
      <c r="X767" s="26"/>
      <c r="Y767" s="26"/>
      <c r="Z767" s="26"/>
    </row>
    <row r="768" ht="15.75" customHeight="1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637"/>
      <c r="V768" s="26"/>
      <c r="W768" s="26"/>
      <c r="X768" s="26"/>
      <c r="Y768" s="26"/>
      <c r="Z768" s="26"/>
    </row>
    <row r="769" ht="15.75" customHeight="1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637"/>
      <c r="V769" s="26"/>
      <c r="W769" s="26"/>
      <c r="X769" s="26"/>
      <c r="Y769" s="26"/>
      <c r="Z769" s="26"/>
    </row>
    <row r="770" ht="15.75" customHeight="1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637"/>
      <c r="V770" s="26"/>
      <c r="W770" s="26"/>
      <c r="X770" s="26"/>
      <c r="Y770" s="26"/>
      <c r="Z770" s="26"/>
    </row>
    <row r="771" ht="15.75" customHeight="1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637"/>
      <c r="V771" s="26"/>
      <c r="W771" s="26"/>
      <c r="X771" s="26"/>
      <c r="Y771" s="26"/>
      <c r="Z771" s="26"/>
    </row>
    <row r="772" ht="15.75" customHeight="1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637"/>
      <c r="V772" s="26"/>
      <c r="W772" s="26"/>
      <c r="X772" s="26"/>
      <c r="Y772" s="26"/>
      <c r="Z772" s="26"/>
    </row>
    <row r="773" ht="15.75" customHeight="1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637"/>
      <c r="V773" s="26"/>
      <c r="W773" s="26"/>
      <c r="X773" s="26"/>
      <c r="Y773" s="26"/>
      <c r="Z773" s="26"/>
    </row>
    <row r="774" ht="15.75" customHeight="1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637"/>
      <c r="V774" s="26"/>
      <c r="W774" s="26"/>
      <c r="X774" s="26"/>
      <c r="Y774" s="26"/>
      <c r="Z774" s="26"/>
    </row>
    <row r="775" ht="15.75" customHeight="1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637"/>
      <c r="V775" s="26"/>
      <c r="W775" s="26"/>
      <c r="X775" s="26"/>
      <c r="Y775" s="26"/>
      <c r="Z775" s="26"/>
    </row>
    <row r="776" ht="15.75" customHeight="1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637"/>
      <c r="V776" s="26"/>
      <c r="W776" s="26"/>
      <c r="X776" s="26"/>
      <c r="Y776" s="26"/>
      <c r="Z776" s="26"/>
    </row>
    <row r="777" ht="15.75" customHeight="1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637"/>
      <c r="V777" s="26"/>
      <c r="W777" s="26"/>
      <c r="X777" s="26"/>
      <c r="Y777" s="26"/>
      <c r="Z777" s="26"/>
    </row>
    <row r="778" ht="15.75" customHeight="1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637"/>
      <c r="V778" s="26"/>
      <c r="W778" s="26"/>
      <c r="X778" s="26"/>
      <c r="Y778" s="26"/>
      <c r="Z778" s="26"/>
    </row>
    <row r="779" ht="15.75" customHeight="1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637"/>
      <c r="V779" s="26"/>
      <c r="W779" s="26"/>
      <c r="X779" s="26"/>
      <c r="Y779" s="26"/>
      <c r="Z779" s="26"/>
    </row>
    <row r="780" ht="15.75" customHeight="1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637"/>
      <c r="V780" s="26"/>
      <c r="W780" s="26"/>
      <c r="X780" s="26"/>
      <c r="Y780" s="26"/>
      <c r="Z780" s="26"/>
    </row>
    <row r="781" ht="15.75" customHeight="1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637"/>
      <c r="V781" s="26"/>
      <c r="W781" s="26"/>
      <c r="X781" s="26"/>
      <c r="Y781" s="26"/>
      <c r="Z781" s="26"/>
    </row>
    <row r="782" ht="15.75" customHeight="1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637"/>
      <c r="V782" s="26"/>
      <c r="W782" s="26"/>
      <c r="X782" s="26"/>
      <c r="Y782" s="26"/>
      <c r="Z782" s="26"/>
    </row>
    <row r="783" ht="15.75" customHeight="1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637"/>
      <c r="V783" s="26"/>
      <c r="W783" s="26"/>
      <c r="X783" s="26"/>
      <c r="Y783" s="26"/>
      <c r="Z783" s="26"/>
    </row>
    <row r="784" ht="15.75" customHeight="1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637"/>
      <c r="V784" s="26"/>
      <c r="W784" s="26"/>
      <c r="X784" s="26"/>
      <c r="Y784" s="26"/>
      <c r="Z784" s="26"/>
    </row>
    <row r="785" ht="15.75" customHeight="1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637"/>
      <c r="V785" s="26"/>
      <c r="W785" s="26"/>
      <c r="X785" s="26"/>
      <c r="Y785" s="26"/>
      <c r="Z785" s="26"/>
    </row>
    <row r="786" ht="15.75" customHeight="1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637"/>
      <c r="V786" s="26"/>
      <c r="W786" s="26"/>
      <c r="X786" s="26"/>
      <c r="Y786" s="26"/>
      <c r="Z786" s="26"/>
    </row>
    <row r="787" ht="15.75" customHeight="1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637"/>
      <c r="V787" s="26"/>
      <c r="W787" s="26"/>
      <c r="X787" s="26"/>
      <c r="Y787" s="26"/>
      <c r="Z787" s="26"/>
    </row>
    <row r="788" ht="15.75" customHeight="1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637"/>
      <c r="V788" s="26"/>
      <c r="W788" s="26"/>
      <c r="X788" s="26"/>
      <c r="Y788" s="26"/>
      <c r="Z788" s="26"/>
    </row>
    <row r="789" ht="15.75" customHeight="1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637"/>
      <c r="V789" s="26"/>
      <c r="W789" s="26"/>
      <c r="X789" s="26"/>
      <c r="Y789" s="26"/>
      <c r="Z789" s="26"/>
    </row>
    <row r="790" ht="15.75" customHeight="1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637"/>
      <c r="V790" s="26"/>
      <c r="W790" s="26"/>
      <c r="X790" s="26"/>
      <c r="Y790" s="26"/>
      <c r="Z790" s="26"/>
    </row>
    <row r="791" ht="15.75" customHeight="1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637"/>
      <c r="V791" s="26"/>
      <c r="W791" s="26"/>
      <c r="X791" s="26"/>
      <c r="Y791" s="26"/>
      <c r="Z791" s="26"/>
    </row>
    <row r="792" ht="15.75" customHeight="1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637"/>
      <c r="V792" s="26"/>
      <c r="W792" s="26"/>
      <c r="X792" s="26"/>
      <c r="Y792" s="26"/>
      <c r="Z792" s="26"/>
    </row>
    <row r="793" ht="15.75" customHeight="1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637"/>
      <c r="V793" s="26"/>
      <c r="W793" s="26"/>
      <c r="X793" s="26"/>
      <c r="Y793" s="26"/>
      <c r="Z793" s="26"/>
    </row>
    <row r="794" ht="15.75" customHeight="1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637"/>
      <c r="V794" s="26"/>
      <c r="W794" s="26"/>
      <c r="X794" s="26"/>
      <c r="Y794" s="26"/>
      <c r="Z794" s="26"/>
    </row>
    <row r="795" ht="15.75" customHeight="1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637"/>
      <c r="V795" s="26"/>
      <c r="W795" s="26"/>
      <c r="X795" s="26"/>
      <c r="Y795" s="26"/>
      <c r="Z795" s="26"/>
    </row>
    <row r="796" ht="15.75" customHeight="1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637"/>
      <c r="V796" s="26"/>
      <c r="W796" s="26"/>
      <c r="X796" s="26"/>
      <c r="Y796" s="26"/>
      <c r="Z796" s="26"/>
    </row>
    <row r="797" ht="15.75" customHeight="1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637"/>
      <c r="V797" s="26"/>
      <c r="W797" s="26"/>
      <c r="X797" s="26"/>
      <c r="Y797" s="26"/>
      <c r="Z797" s="26"/>
    </row>
    <row r="798" ht="15.75" customHeight="1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637"/>
      <c r="V798" s="26"/>
      <c r="W798" s="26"/>
      <c r="X798" s="26"/>
      <c r="Y798" s="26"/>
      <c r="Z798" s="26"/>
    </row>
    <row r="799" ht="15.75" customHeight="1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637"/>
      <c r="V799" s="26"/>
      <c r="W799" s="26"/>
      <c r="X799" s="26"/>
      <c r="Y799" s="26"/>
      <c r="Z799" s="26"/>
    </row>
    <row r="800" ht="15.75" customHeight="1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637"/>
      <c r="V800" s="26"/>
      <c r="W800" s="26"/>
      <c r="X800" s="26"/>
      <c r="Y800" s="26"/>
      <c r="Z800" s="26"/>
    </row>
    <row r="801" ht="15.75" customHeight="1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637"/>
      <c r="V801" s="26"/>
      <c r="W801" s="26"/>
      <c r="X801" s="26"/>
      <c r="Y801" s="26"/>
      <c r="Z801" s="26"/>
    </row>
    <row r="802" ht="15.75" customHeight="1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637"/>
      <c r="V802" s="26"/>
      <c r="W802" s="26"/>
      <c r="X802" s="26"/>
      <c r="Y802" s="26"/>
      <c r="Z802" s="26"/>
    </row>
    <row r="803" ht="15.75" customHeight="1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637"/>
      <c r="V803" s="26"/>
      <c r="W803" s="26"/>
      <c r="X803" s="26"/>
      <c r="Y803" s="26"/>
      <c r="Z803" s="26"/>
    </row>
    <row r="804" ht="15.75" customHeight="1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637"/>
      <c r="V804" s="26"/>
      <c r="W804" s="26"/>
      <c r="X804" s="26"/>
      <c r="Y804" s="26"/>
      <c r="Z804" s="26"/>
    </row>
    <row r="805" ht="15.75" customHeight="1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637"/>
      <c r="V805" s="26"/>
      <c r="W805" s="26"/>
      <c r="X805" s="26"/>
      <c r="Y805" s="26"/>
      <c r="Z805" s="26"/>
    </row>
    <row r="806" ht="15.75" customHeight="1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637"/>
      <c r="V806" s="26"/>
      <c r="W806" s="26"/>
      <c r="X806" s="26"/>
      <c r="Y806" s="26"/>
      <c r="Z806" s="26"/>
    </row>
    <row r="807" ht="15.75" customHeight="1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637"/>
      <c r="V807" s="26"/>
      <c r="W807" s="26"/>
      <c r="X807" s="26"/>
      <c r="Y807" s="26"/>
      <c r="Z807" s="26"/>
    </row>
    <row r="808" ht="15.75" customHeight="1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637"/>
      <c r="V808" s="26"/>
      <c r="W808" s="26"/>
      <c r="X808" s="26"/>
      <c r="Y808" s="26"/>
      <c r="Z808" s="26"/>
    </row>
    <row r="809" ht="15.75" customHeight="1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637"/>
      <c r="V809" s="26"/>
      <c r="W809" s="26"/>
      <c r="X809" s="26"/>
      <c r="Y809" s="26"/>
      <c r="Z809" s="26"/>
    </row>
    <row r="810" ht="15.75" customHeight="1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637"/>
      <c r="V810" s="26"/>
      <c r="W810" s="26"/>
      <c r="X810" s="26"/>
      <c r="Y810" s="26"/>
      <c r="Z810" s="26"/>
    </row>
    <row r="811" ht="15.75" customHeight="1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637"/>
      <c r="V811" s="26"/>
      <c r="W811" s="26"/>
      <c r="X811" s="26"/>
      <c r="Y811" s="26"/>
      <c r="Z811" s="26"/>
    </row>
    <row r="812" ht="15.75" customHeight="1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637"/>
      <c r="V812" s="26"/>
      <c r="W812" s="26"/>
      <c r="X812" s="26"/>
      <c r="Y812" s="26"/>
      <c r="Z812" s="26"/>
    </row>
    <row r="813" ht="15.75" customHeight="1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637"/>
      <c r="V813" s="26"/>
      <c r="W813" s="26"/>
      <c r="X813" s="26"/>
      <c r="Y813" s="26"/>
      <c r="Z813" s="26"/>
    </row>
    <row r="814" ht="15.75" customHeight="1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637"/>
      <c r="V814" s="26"/>
      <c r="W814" s="26"/>
      <c r="X814" s="26"/>
      <c r="Y814" s="26"/>
      <c r="Z814" s="26"/>
    </row>
    <row r="815" ht="15.75" customHeight="1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637"/>
      <c r="V815" s="26"/>
      <c r="W815" s="26"/>
      <c r="X815" s="26"/>
      <c r="Y815" s="26"/>
      <c r="Z815" s="26"/>
    </row>
    <row r="816" ht="15.75" customHeight="1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637"/>
      <c r="V816" s="26"/>
      <c r="W816" s="26"/>
      <c r="X816" s="26"/>
      <c r="Y816" s="26"/>
      <c r="Z816" s="26"/>
    </row>
    <row r="817" ht="15.75" customHeight="1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637"/>
      <c r="V817" s="26"/>
      <c r="W817" s="26"/>
      <c r="X817" s="26"/>
      <c r="Y817" s="26"/>
      <c r="Z817" s="26"/>
    </row>
    <row r="818" ht="15.75" customHeight="1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637"/>
      <c r="V818" s="26"/>
      <c r="W818" s="26"/>
      <c r="X818" s="26"/>
      <c r="Y818" s="26"/>
      <c r="Z818" s="26"/>
    </row>
    <row r="819" ht="15.75" customHeight="1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637"/>
      <c r="V819" s="26"/>
      <c r="W819" s="26"/>
      <c r="X819" s="26"/>
      <c r="Y819" s="26"/>
      <c r="Z819" s="26"/>
    </row>
    <row r="820" ht="15.75" customHeight="1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637"/>
      <c r="V820" s="26"/>
      <c r="W820" s="26"/>
      <c r="X820" s="26"/>
      <c r="Y820" s="26"/>
      <c r="Z820" s="26"/>
    </row>
    <row r="821" ht="15.75" customHeight="1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637"/>
      <c r="V821" s="26"/>
      <c r="W821" s="26"/>
      <c r="X821" s="26"/>
      <c r="Y821" s="26"/>
      <c r="Z821" s="26"/>
    </row>
    <row r="822" ht="15.75" customHeight="1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637"/>
      <c r="V822" s="26"/>
      <c r="W822" s="26"/>
      <c r="X822" s="26"/>
      <c r="Y822" s="26"/>
      <c r="Z822" s="26"/>
    </row>
    <row r="823" ht="15.75" customHeight="1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637"/>
      <c r="V823" s="26"/>
      <c r="W823" s="26"/>
      <c r="X823" s="26"/>
      <c r="Y823" s="26"/>
      <c r="Z823" s="26"/>
    </row>
    <row r="824" ht="15.75" customHeight="1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637"/>
      <c r="V824" s="26"/>
      <c r="W824" s="26"/>
      <c r="X824" s="26"/>
      <c r="Y824" s="26"/>
      <c r="Z824" s="26"/>
    </row>
    <row r="825" ht="15.75" customHeight="1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637"/>
      <c r="V825" s="26"/>
      <c r="W825" s="26"/>
      <c r="X825" s="26"/>
      <c r="Y825" s="26"/>
      <c r="Z825" s="26"/>
    </row>
    <row r="826" ht="15.75" customHeight="1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637"/>
      <c r="V826" s="26"/>
      <c r="W826" s="26"/>
      <c r="X826" s="26"/>
      <c r="Y826" s="26"/>
      <c r="Z826" s="26"/>
    </row>
    <row r="827" ht="15.75" customHeight="1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637"/>
      <c r="V827" s="26"/>
      <c r="W827" s="26"/>
      <c r="X827" s="26"/>
      <c r="Y827" s="26"/>
      <c r="Z827" s="26"/>
    </row>
    <row r="828" ht="15.75" customHeight="1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637"/>
      <c r="V828" s="26"/>
      <c r="W828" s="26"/>
      <c r="X828" s="26"/>
      <c r="Y828" s="26"/>
      <c r="Z828" s="26"/>
    </row>
    <row r="829" ht="15.75" customHeight="1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637"/>
      <c r="V829" s="26"/>
      <c r="W829" s="26"/>
      <c r="X829" s="26"/>
      <c r="Y829" s="26"/>
      <c r="Z829" s="26"/>
    </row>
    <row r="830" ht="15.75" customHeight="1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637"/>
      <c r="V830" s="26"/>
      <c r="W830" s="26"/>
      <c r="X830" s="26"/>
      <c r="Y830" s="26"/>
      <c r="Z830" s="26"/>
    </row>
    <row r="831" ht="15.75" customHeight="1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637"/>
      <c r="V831" s="26"/>
      <c r="W831" s="26"/>
      <c r="X831" s="26"/>
      <c r="Y831" s="26"/>
      <c r="Z831" s="26"/>
    </row>
    <row r="832" ht="15.75" customHeight="1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637"/>
      <c r="V832" s="26"/>
      <c r="W832" s="26"/>
      <c r="X832" s="26"/>
      <c r="Y832" s="26"/>
      <c r="Z832" s="26"/>
    </row>
    <row r="833" ht="15.75" customHeight="1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637"/>
      <c r="V833" s="26"/>
      <c r="W833" s="26"/>
      <c r="X833" s="26"/>
      <c r="Y833" s="26"/>
      <c r="Z833" s="26"/>
    </row>
    <row r="834" ht="15.75" customHeight="1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637"/>
      <c r="V834" s="26"/>
      <c r="W834" s="26"/>
      <c r="X834" s="26"/>
      <c r="Y834" s="26"/>
      <c r="Z834" s="26"/>
    </row>
    <row r="835" ht="15.75" customHeight="1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637"/>
      <c r="V835" s="26"/>
      <c r="W835" s="26"/>
      <c r="X835" s="26"/>
      <c r="Y835" s="26"/>
      <c r="Z835" s="26"/>
    </row>
    <row r="836" ht="15.75" customHeight="1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637"/>
      <c r="V836" s="26"/>
      <c r="W836" s="26"/>
      <c r="X836" s="26"/>
      <c r="Y836" s="26"/>
      <c r="Z836" s="26"/>
    </row>
    <row r="837" ht="15.75" customHeight="1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637"/>
      <c r="V837" s="26"/>
      <c r="W837" s="26"/>
      <c r="X837" s="26"/>
      <c r="Y837" s="26"/>
      <c r="Z837" s="26"/>
    </row>
    <row r="838" ht="15.75" customHeight="1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637"/>
      <c r="V838" s="26"/>
      <c r="W838" s="26"/>
      <c r="X838" s="26"/>
      <c r="Y838" s="26"/>
      <c r="Z838" s="26"/>
    </row>
    <row r="839" ht="15.75" customHeight="1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637"/>
      <c r="V839" s="26"/>
      <c r="W839" s="26"/>
      <c r="X839" s="26"/>
      <c r="Y839" s="26"/>
      <c r="Z839" s="26"/>
    </row>
    <row r="840" ht="15.75" customHeight="1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637"/>
      <c r="V840" s="26"/>
      <c r="W840" s="26"/>
      <c r="X840" s="26"/>
      <c r="Y840" s="26"/>
      <c r="Z840" s="26"/>
    </row>
    <row r="841" ht="15.75" customHeight="1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637"/>
      <c r="V841" s="26"/>
      <c r="W841" s="26"/>
      <c r="X841" s="26"/>
      <c r="Y841" s="26"/>
      <c r="Z841" s="26"/>
    </row>
    <row r="842" ht="15.75" customHeight="1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637"/>
      <c r="V842" s="26"/>
      <c r="W842" s="26"/>
      <c r="X842" s="26"/>
      <c r="Y842" s="26"/>
      <c r="Z842" s="26"/>
    </row>
    <row r="843" ht="15.75" customHeight="1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637"/>
      <c r="V843" s="26"/>
      <c r="W843" s="26"/>
      <c r="X843" s="26"/>
      <c r="Y843" s="26"/>
      <c r="Z843" s="26"/>
    </row>
    <row r="844" ht="15.75" customHeight="1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637"/>
      <c r="V844" s="26"/>
      <c r="W844" s="26"/>
      <c r="X844" s="26"/>
      <c r="Y844" s="26"/>
      <c r="Z844" s="26"/>
    </row>
    <row r="845" ht="15.75" customHeight="1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637"/>
      <c r="V845" s="26"/>
      <c r="W845" s="26"/>
      <c r="X845" s="26"/>
      <c r="Y845" s="26"/>
      <c r="Z845" s="26"/>
    </row>
    <row r="846" ht="15.75" customHeight="1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637"/>
      <c r="V846" s="26"/>
      <c r="W846" s="26"/>
      <c r="X846" s="26"/>
      <c r="Y846" s="26"/>
      <c r="Z846" s="26"/>
    </row>
    <row r="847" ht="15.75" customHeight="1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637"/>
      <c r="V847" s="26"/>
      <c r="W847" s="26"/>
      <c r="X847" s="26"/>
      <c r="Y847" s="26"/>
      <c r="Z847" s="26"/>
    </row>
    <row r="848" ht="15.75" customHeight="1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637"/>
      <c r="V848" s="26"/>
      <c r="W848" s="26"/>
      <c r="X848" s="26"/>
      <c r="Y848" s="26"/>
      <c r="Z848" s="26"/>
    </row>
    <row r="849" ht="15.75" customHeight="1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637"/>
      <c r="V849" s="26"/>
      <c r="W849" s="26"/>
      <c r="X849" s="26"/>
      <c r="Y849" s="26"/>
      <c r="Z849" s="26"/>
    </row>
    <row r="850" ht="15.75" customHeight="1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637"/>
      <c r="V850" s="26"/>
      <c r="W850" s="26"/>
      <c r="X850" s="26"/>
      <c r="Y850" s="26"/>
      <c r="Z850" s="26"/>
    </row>
    <row r="851" ht="15.75" customHeight="1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637"/>
      <c r="V851" s="26"/>
      <c r="W851" s="26"/>
      <c r="X851" s="26"/>
      <c r="Y851" s="26"/>
      <c r="Z851" s="26"/>
    </row>
    <row r="852" ht="15.75" customHeight="1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637"/>
      <c r="V852" s="26"/>
      <c r="W852" s="26"/>
      <c r="X852" s="26"/>
      <c r="Y852" s="26"/>
      <c r="Z852" s="26"/>
    </row>
    <row r="853" ht="15.75" customHeight="1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637"/>
      <c r="V853" s="26"/>
      <c r="W853" s="26"/>
      <c r="X853" s="26"/>
      <c r="Y853" s="26"/>
      <c r="Z853" s="26"/>
    </row>
    <row r="854" ht="15.75" customHeight="1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637"/>
      <c r="V854" s="26"/>
      <c r="W854" s="26"/>
      <c r="X854" s="26"/>
      <c r="Y854" s="26"/>
      <c r="Z854" s="26"/>
    </row>
    <row r="855" ht="15.75" customHeight="1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637"/>
      <c r="V855" s="26"/>
      <c r="W855" s="26"/>
      <c r="X855" s="26"/>
      <c r="Y855" s="26"/>
      <c r="Z855" s="26"/>
    </row>
    <row r="856" ht="15.75" customHeight="1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637"/>
      <c r="V856" s="26"/>
      <c r="W856" s="26"/>
      <c r="X856" s="26"/>
      <c r="Y856" s="26"/>
      <c r="Z856" s="26"/>
    </row>
    <row r="857" ht="15.75" customHeight="1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637"/>
      <c r="V857" s="26"/>
      <c r="W857" s="26"/>
      <c r="X857" s="26"/>
      <c r="Y857" s="26"/>
      <c r="Z857" s="26"/>
    </row>
    <row r="858" ht="15.75" customHeight="1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637"/>
      <c r="V858" s="26"/>
      <c r="W858" s="26"/>
      <c r="X858" s="26"/>
      <c r="Y858" s="26"/>
      <c r="Z858" s="26"/>
    </row>
    <row r="859" ht="15.75" customHeight="1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637"/>
      <c r="V859" s="26"/>
      <c r="W859" s="26"/>
      <c r="X859" s="26"/>
      <c r="Y859" s="26"/>
      <c r="Z859" s="26"/>
    </row>
    <row r="860" ht="15.75" customHeight="1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637"/>
      <c r="V860" s="26"/>
      <c r="W860" s="26"/>
      <c r="X860" s="26"/>
      <c r="Y860" s="26"/>
      <c r="Z860" s="26"/>
    </row>
    <row r="861" ht="15.75" customHeight="1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637"/>
      <c r="V861" s="26"/>
      <c r="W861" s="26"/>
      <c r="X861" s="26"/>
      <c r="Y861" s="26"/>
      <c r="Z861" s="26"/>
    </row>
    <row r="862" ht="15.75" customHeight="1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637"/>
      <c r="V862" s="26"/>
      <c r="W862" s="26"/>
      <c r="X862" s="26"/>
      <c r="Y862" s="26"/>
      <c r="Z862" s="26"/>
    </row>
    <row r="863" ht="15.75" customHeight="1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637"/>
      <c r="V863" s="26"/>
      <c r="W863" s="26"/>
      <c r="X863" s="26"/>
      <c r="Y863" s="26"/>
      <c r="Z863" s="26"/>
    </row>
    <row r="864" ht="15.75" customHeight="1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637"/>
      <c r="V864" s="26"/>
      <c r="W864" s="26"/>
      <c r="X864" s="26"/>
      <c r="Y864" s="26"/>
      <c r="Z864" s="26"/>
    </row>
    <row r="865" ht="15.75" customHeight="1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637"/>
      <c r="V865" s="26"/>
      <c r="W865" s="26"/>
      <c r="X865" s="26"/>
      <c r="Y865" s="26"/>
      <c r="Z865" s="26"/>
    </row>
    <row r="866" ht="15.75" customHeight="1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637"/>
      <c r="V866" s="26"/>
      <c r="W866" s="26"/>
      <c r="X866" s="26"/>
      <c r="Y866" s="26"/>
      <c r="Z866" s="26"/>
    </row>
    <row r="867" ht="15.75" customHeight="1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637"/>
      <c r="V867" s="26"/>
      <c r="W867" s="26"/>
      <c r="X867" s="26"/>
      <c r="Y867" s="26"/>
      <c r="Z867" s="26"/>
    </row>
    <row r="868" ht="15.75" customHeight="1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637"/>
      <c r="V868" s="26"/>
      <c r="W868" s="26"/>
      <c r="X868" s="26"/>
      <c r="Y868" s="26"/>
      <c r="Z868" s="26"/>
    </row>
    <row r="869" ht="15.75" customHeight="1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637"/>
      <c r="V869" s="26"/>
      <c r="W869" s="26"/>
      <c r="X869" s="26"/>
      <c r="Y869" s="26"/>
      <c r="Z869" s="26"/>
    </row>
    <row r="870" ht="15.75" customHeight="1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637"/>
      <c r="V870" s="26"/>
      <c r="W870" s="26"/>
      <c r="X870" s="26"/>
      <c r="Y870" s="26"/>
      <c r="Z870" s="26"/>
    </row>
    <row r="871" ht="15.75" customHeight="1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637"/>
      <c r="V871" s="26"/>
      <c r="W871" s="26"/>
      <c r="X871" s="26"/>
      <c r="Y871" s="26"/>
      <c r="Z871" s="26"/>
    </row>
    <row r="872" ht="15.75" customHeight="1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637"/>
      <c r="V872" s="26"/>
      <c r="W872" s="26"/>
      <c r="X872" s="26"/>
      <c r="Y872" s="26"/>
      <c r="Z872" s="26"/>
    </row>
    <row r="873" ht="15.75" customHeight="1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637"/>
      <c r="V873" s="26"/>
      <c r="W873" s="26"/>
      <c r="X873" s="26"/>
      <c r="Y873" s="26"/>
      <c r="Z873" s="26"/>
    </row>
    <row r="874" ht="15.75" customHeight="1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637"/>
      <c r="V874" s="26"/>
      <c r="W874" s="26"/>
      <c r="X874" s="26"/>
      <c r="Y874" s="26"/>
      <c r="Z874" s="26"/>
    </row>
    <row r="875" ht="15.75" customHeight="1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637"/>
      <c r="V875" s="26"/>
      <c r="W875" s="26"/>
      <c r="X875" s="26"/>
      <c r="Y875" s="26"/>
      <c r="Z875" s="26"/>
    </row>
    <row r="876" ht="15.75" customHeight="1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637"/>
      <c r="V876" s="26"/>
      <c r="W876" s="26"/>
      <c r="X876" s="26"/>
      <c r="Y876" s="26"/>
      <c r="Z876" s="26"/>
    </row>
    <row r="877" ht="15.75" customHeight="1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637"/>
      <c r="V877" s="26"/>
      <c r="W877" s="26"/>
      <c r="X877" s="26"/>
      <c r="Y877" s="26"/>
      <c r="Z877" s="26"/>
    </row>
    <row r="878" ht="15.75" customHeight="1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637"/>
      <c r="V878" s="26"/>
      <c r="W878" s="26"/>
      <c r="X878" s="26"/>
      <c r="Y878" s="26"/>
      <c r="Z878" s="26"/>
    </row>
    <row r="879" ht="15.75" customHeight="1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637"/>
      <c r="V879" s="26"/>
      <c r="W879" s="26"/>
      <c r="X879" s="26"/>
      <c r="Y879" s="26"/>
      <c r="Z879" s="26"/>
    </row>
    <row r="880" ht="15.75" customHeight="1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637"/>
      <c r="V880" s="26"/>
      <c r="W880" s="26"/>
      <c r="X880" s="26"/>
      <c r="Y880" s="26"/>
      <c r="Z880" s="26"/>
    </row>
    <row r="881" ht="15.75" customHeight="1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637"/>
      <c r="V881" s="26"/>
      <c r="W881" s="26"/>
      <c r="X881" s="26"/>
      <c r="Y881" s="26"/>
      <c r="Z881" s="26"/>
    </row>
    <row r="882" ht="15.75" customHeight="1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637"/>
      <c r="V882" s="26"/>
      <c r="W882" s="26"/>
      <c r="X882" s="26"/>
      <c r="Y882" s="26"/>
      <c r="Z882" s="26"/>
    </row>
    <row r="883" ht="15.75" customHeight="1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637"/>
      <c r="V883" s="26"/>
      <c r="W883" s="26"/>
      <c r="X883" s="26"/>
      <c r="Y883" s="26"/>
      <c r="Z883" s="26"/>
    </row>
    <row r="884" ht="15.75" customHeight="1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637"/>
      <c r="V884" s="26"/>
      <c r="W884" s="26"/>
      <c r="X884" s="26"/>
      <c r="Y884" s="26"/>
      <c r="Z884" s="26"/>
    </row>
    <row r="885" ht="15.75" customHeight="1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637"/>
      <c r="V885" s="26"/>
      <c r="W885" s="26"/>
      <c r="X885" s="26"/>
      <c r="Y885" s="26"/>
      <c r="Z885" s="26"/>
    </row>
    <row r="886" ht="15.75" customHeight="1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637"/>
      <c r="V886" s="26"/>
      <c r="W886" s="26"/>
      <c r="X886" s="26"/>
      <c r="Y886" s="26"/>
      <c r="Z886" s="26"/>
    </row>
    <row r="887" ht="15.75" customHeight="1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637"/>
      <c r="V887" s="26"/>
      <c r="W887" s="26"/>
      <c r="X887" s="26"/>
      <c r="Y887" s="26"/>
      <c r="Z887" s="26"/>
    </row>
    <row r="888" ht="15.75" customHeight="1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637"/>
      <c r="V888" s="26"/>
      <c r="W888" s="26"/>
      <c r="X888" s="26"/>
      <c r="Y888" s="26"/>
      <c r="Z888" s="26"/>
    </row>
    <row r="889" ht="15.75" customHeight="1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637"/>
      <c r="V889" s="26"/>
      <c r="W889" s="26"/>
      <c r="X889" s="26"/>
      <c r="Y889" s="26"/>
      <c r="Z889" s="26"/>
    </row>
    <row r="890" ht="15.75" customHeight="1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637"/>
      <c r="V890" s="26"/>
      <c r="W890" s="26"/>
      <c r="X890" s="26"/>
      <c r="Y890" s="26"/>
      <c r="Z890" s="26"/>
    </row>
    <row r="891" ht="15.75" customHeight="1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637"/>
      <c r="V891" s="26"/>
      <c r="W891" s="26"/>
      <c r="X891" s="26"/>
      <c r="Y891" s="26"/>
      <c r="Z891" s="26"/>
    </row>
    <row r="892" ht="15.75" customHeight="1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637"/>
      <c r="V892" s="26"/>
      <c r="W892" s="26"/>
      <c r="X892" s="26"/>
      <c r="Y892" s="26"/>
      <c r="Z892" s="26"/>
    </row>
    <row r="893" ht="15.75" customHeight="1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637"/>
      <c r="V893" s="26"/>
      <c r="W893" s="26"/>
      <c r="X893" s="26"/>
      <c r="Y893" s="26"/>
      <c r="Z893" s="26"/>
    </row>
    <row r="894" ht="15.75" customHeight="1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637"/>
      <c r="V894" s="26"/>
      <c r="W894" s="26"/>
      <c r="X894" s="26"/>
      <c r="Y894" s="26"/>
      <c r="Z894" s="26"/>
    </row>
    <row r="895" ht="15.75" customHeight="1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637"/>
      <c r="V895" s="26"/>
      <c r="W895" s="26"/>
      <c r="X895" s="26"/>
      <c r="Y895" s="26"/>
      <c r="Z895" s="26"/>
    </row>
    <row r="896" ht="15.75" customHeight="1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637"/>
      <c r="V896" s="26"/>
      <c r="W896" s="26"/>
      <c r="X896" s="26"/>
      <c r="Y896" s="26"/>
      <c r="Z896" s="26"/>
    </row>
    <row r="897" ht="15.75" customHeight="1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637"/>
      <c r="V897" s="26"/>
      <c r="W897" s="26"/>
      <c r="X897" s="26"/>
      <c r="Y897" s="26"/>
      <c r="Z897" s="26"/>
    </row>
    <row r="898" ht="15.75" customHeight="1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637"/>
      <c r="V898" s="26"/>
      <c r="W898" s="26"/>
      <c r="X898" s="26"/>
      <c r="Y898" s="26"/>
      <c r="Z898" s="26"/>
    </row>
    <row r="899" ht="15.75" customHeight="1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637"/>
      <c r="V899" s="26"/>
      <c r="W899" s="26"/>
      <c r="X899" s="26"/>
      <c r="Y899" s="26"/>
      <c r="Z899" s="26"/>
    </row>
    <row r="900" ht="15.75" customHeight="1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637"/>
      <c r="V900" s="26"/>
      <c r="W900" s="26"/>
      <c r="X900" s="26"/>
      <c r="Y900" s="26"/>
      <c r="Z900" s="26"/>
    </row>
    <row r="901" ht="15.75" customHeight="1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637"/>
      <c r="V901" s="26"/>
      <c r="W901" s="26"/>
      <c r="X901" s="26"/>
      <c r="Y901" s="26"/>
      <c r="Z901" s="26"/>
    </row>
    <row r="902" ht="15.75" customHeight="1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637"/>
      <c r="V902" s="26"/>
      <c r="W902" s="26"/>
      <c r="X902" s="26"/>
      <c r="Y902" s="26"/>
      <c r="Z902" s="26"/>
    </row>
    <row r="903" ht="15.75" customHeight="1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637"/>
      <c r="V903" s="26"/>
      <c r="W903" s="26"/>
      <c r="X903" s="26"/>
      <c r="Y903" s="26"/>
      <c r="Z903" s="26"/>
    </row>
    <row r="904" ht="15.75" customHeight="1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637"/>
      <c r="V904" s="26"/>
      <c r="W904" s="26"/>
      <c r="X904" s="26"/>
      <c r="Y904" s="26"/>
      <c r="Z904" s="26"/>
    </row>
    <row r="905" ht="15.75" customHeight="1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637"/>
      <c r="V905" s="26"/>
      <c r="W905" s="26"/>
      <c r="X905" s="26"/>
      <c r="Y905" s="26"/>
      <c r="Z905" s="26"/>
    </row>
    <row r="906" ht="15.75" customHeight="1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637"/>
      <c r="V906" s="26"/>
      <c r="W906" s="26"/>
      <c r="X906" s="26"/>
      <c r="Y906" s="26"/>
      <c r="Z906" s="26"/>
    </row>
    <row r="907" ht="15.75" customHeight="1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637"/>
      <c r="V907" s="26"/>
      <c r="W907" s="26"/>
      <c r="X907" s="26"/>
      <c r="Y907" s="26"/>
      <c r="Z907" s="26"/>
    </row>
    <row r="908" ht="15.75" customHeight="1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637"/>
      <c r="V908" s="26"/>
      <c r="W908" s="26"/>
      <c r="X908" s="26"/>
      <c r="Y908" s="26"/>
      <c r="Z908" s="26"/>
    </row>
    <row r="909" ht="15.75" customHeight="1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637"/>
      <c r="V909" s="26"/>
      <c r="W909" s="26"/>
      <c r="X909" s="26"/>
      <c r="Y909" s="26"/>
      <c r="Z909" s="26"/>
    </row>
    <row r="910" ht="15.75" customHeight="1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637"/>
      <c r="V910" s="26"/>
      <c r="W910" s="26"/>
      <c r="X910" s="26"/>
      <c r="Y910" s="26"/>
      <c r="Z910" s="26"/>
    </row>
    <row r="911" ht="15.75" customHeight="1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637"/>
      <c r="V911" s="26"/>
      <c r="W911" s="26"/>
      <c r="X911" s="26"/>
      <c r="Y911" s="26"/>
      <c r="Z911" s="26"/>
    </row>
    <row r="912" ht="15.75" customHeight="1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637"/>
      <c r="V912" s="26"/>
      <c r="W912" s="26"/>
      <c r="X912" s="26"/>
      <c r="Y912" s="26"/>
      <c r="Z912" s="26"/>
    </row>
    <row r="913" ht="15.75" customHeight="1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637"/>
      <c r="V913" s="26"/>
      <c r="W913" s="26"/>
      <c r="X913" s="26"/>
      <c r="Y913" s="26"/>
      <c r="Z913" s="26"/>
    </row>
    <row r="914" ht="15.75" customHeight="1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637"/>
      <c r="V914" s="26"/>
      <c r="W914" s="26"/>
      <c r="X914" s="26"/>
      <c r="Y914" s="26"/>
      <c r="Z914" s="26"/>
    </row>
    <row r="915" ht="15.75" customHeight="1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637"/>
      <c r="V915" s="26"/>
      <c r="W915" s="26"/>
      <c r="X915" s="26"/>
      <c r="Y915" s="26"/>
      <c r="Z915" s="26"/>
    </row>
    <row r="916" ht="15.75" customHeight="1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637"/>
      <c r="V916" s="26"/>
      <c r="W916" s="26"/>
      <c r="X916" s="26"/>
      <c r="Y916" s="26"/>
      <c r="Z916" s="26"/>
    </row>
    <row r="917" ht="15.75" customHeight="1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637"/>
      <c r="V917" s="26"/>
      <c r="W917" s="26"/>
      <c r="X917" s="26"/>
      <c r="Y917" s="26"/>
      <c r="Z917" s="26"/>
    </row>
    <row r="918" ht="15.75" customHeight="1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637"/>
      <c r="V918" s="26"/>
      <c r="W918" s="26"/>
      <c r="X918" s="26"/>
      <c r="Y918" s="26"/>
      <c r="Z918" s="26"/>
    </row>
    <row r="919" ht="15.75" customHeight="1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637"/>
      <c r="V919" s="26"/>
      <c r="W919" s="26"/>
      <c r="X919" s="26"/>
      <c r="Y919" s="26"/>
      <c r="Z919" s="26"/>
    </row>
    <row r="920" ht="15.75" customHeight="1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637"/>
      <c r="V920" s="26"/>
      <c r="W920" s="26"/>
      <c r="X920" s="26"/>
      <c r="Y920" s="26"/>
      <c r="Z920" s="26"/>
    </row>
    <row r="921" ht="15.75" customHeight="1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637"/>
      <c r="V921" s="26"/>
      <c r="W921" s="26"/>
      <c r="X921" s="26"/>
      <c r="Y921" s="26"/>
      <c r="Z921" s="26"/>
    </row>
    <row r="922" ht="15.75" customHeight="1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637"/>
      <c r="V922" s="26"/>
      <c r="W922" s="26"/>
      <c r="X922" s="26"/>
      <c r="Y922" s="26"/>
      <c r="Z922" s="26"/>
    </row>
    <row r="923" ht="15.75" customHeight="1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637"/>
      <c r="V923" s="26"/>
      <c r="W923" s="26"/>
      <c r="X923" s="26"/>
      <c r="Y923" s="26"/>
      <c r="Z923" s="26"/>
    </row>
    <row r="924" ht="15.75" customHeight="1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637"/>
      <c r="V924" s="26"/>
      <c r="W924" s="26"/>
      <c r="X924" s="26"/>
      <c r="Y924" s="26"/>
      <c r="Z924" s="26"/>
    </row>
    <row r="925" ht="15.75" customHeight="1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637"/>
      <c r="V925" s="26"/>
      <c r="W925" s="26"/>
      <c r="X925" s="26"/>
      <c r="Y925" s="26"/>
      <c r="Z925" s="26"/>
    </row>
    <row r="926" ht="15.75" customHeight="1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637"/>
      <c r="V926" s="26"/>
      <c r="W926" s="26"/>
      <c r="X926" s="26"/>
      <c r="Y926" s="26"/>
      <c r="Z926" s="26"/>
    </row>
    <row r="927" ht="15.75" customHeight="1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637"/>
      <c r="V927" s="26"/>
      <c r="W927" s="26"/>
      <c r="X927" s="26"/>
      <c r="Y927" s="26"/>
      <c r="Z927" s="26"/>
    </row>
    <row r="928" ht="15.75" customHeight="1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637"/>
      <c r="V928" s="26"/>
      <c r="W928" s="26"/>
      <c r="X928" s="26"/>
      <c r="Y928" s="26"/>
      <c r="Z928" s="26"/>
    </row>
    <row r="929" ht="15.75" customHeight="1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637"/>
      <c r="V929" s="26"/>
      <c r="W929" s="26"/>
      <c r="X929" s="26"/>
      <c r="Y929" s="26"/>
      <c r="Z929" s="26"/>
    </row>
    <row r="930" ht="15.75" customHeight="1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637"/>
      <c r="V930" s="26"/>
      <c r="W930" s="26"/>
      <c r="X930" s="26"/>
      <c r="Y930" s="26"/>
      <c r="Z930" s="26"/>
    </row>
    <row r="931" ht="15.75" customHeight="1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637"/>
      <c r="V931" s="26"/>
      <c r="W931" s="26"/>
      <c r="X931" s="26"/>
      <c r="Y931" s="26"/>
      <c r="Z931" s="26"/>
    </row>
    <row r="932" ht="15.75" customHeight="1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637"/>
      <c r="V932" s="26"/>
      <c r="W932" s="26"/>
      <c r="X932" s="26"/>
      <c r="Y932" s="26"/>
      <c r="Z932" s="26"/>
    </row>
    <row r="933" ht="15.75" customHeight="1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637"/>
      <c r="V933" s="26"/>
      <c r="W933" s="26"/>
      <c r="X933" s="26"/>
      <c r="Y933" s="26"/>
      <c r="Z933" s="26"/>
    </row>
    <row r="934" ht="15.75" customHeight="1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637"/>
      <c r="V934" s="26"/>
      <c r="W934" s="26"/>
      <c r="X934" s="26"/>
      <c r="Y934" s="26"/>
      <c r="Z934" s="26"/>
    </row>
    <row r="935" ht="15.75" customHeight="1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637"/>
      <c r="V935" s="26"/>
      <c r="W935" s="26"/>
      <c r="X935" s="26"/>
      <c r="Y935" s="26"/>
      <c r="Z935" s="26"/>
    </row>
    <row r="936" ht="15.75" customHeight="1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637"/>
      <c r="V936" s="26"/>
      <c r="W936" s="26"/>
      <c r="X936" s="26"/>
      <c r="Y936" s="26"/>
      <c r="Z936" s="26"/>
    </row>
    <row r="937" ht="15.75" customHeight="1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637"/>
      <c r="V937" s="26"/>
      <c r="W937" s="26"/>
      <c r="X937" s="26"/>
      <c r="Y937" s="26"/>
      <c r="Z937" s="26"/>
    </row>
    <row r="938" ht="15.75" customHeight="1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637"/>
      <c r="V938" s="26"/>
      <c r="W938" s="26"/>
      <c r="X938" s="26"/>
      <c r="Y938" s="26"/>
      <c r="Z938" s="26"/>
    </row>
    <row r="939" ht="15.75" customHeight="1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637"/>
      <c r="V939" s="26"/>
      <c r="W939" s="26"/>
      <c r="X939" s="26"/>
      <c r="Y939" s="26"/>
      <c r="Z939" s="26"/>
    </row>
    <row r="940" ht="15.75" customHeight="1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637"/>
      <c r="V940" s="26"/>
      <c r="W940" s="26"/>
      <c r="X940" s="26"/>
      <c r="Y940" s="26"/>
      <c r="Z940" s="26"/>
    </row>
    <row r="941" ht="15.75" customHeight="1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637"/>
      <c r="V941" s="26"/>
      <c r="W941" s="26"/>
      <c r="X941" s="26"/>
      <c r="Y941" s="26"/>
      <c r="Z941" s="26"/>
    </row>
    <row r="942" ht="15.75" customHeight="1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637"/>
      <c r="V942" s="26"/>
      <c r="W942" s="26"/>
      <c r="X942" s="26"/>
      <c r="Y942" s="26"/>
      <c r="Z942" s="26"/>
    </row>
    <row r="943" ht="15.75" customHeight="1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637"/>
      <c r="V943" s="26"/>
      <c r="W943" s="26"/>
      <c r="X943" s="26"/>
      <c r="Y943" s="26"/>
      <c r="Z943" s="26"/>
    </row>
    <row r="944" ht="15.75" customHeight="1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637"/>
      <c r="V944" s="26"/>
      <c r="W944" s="26"/>
      <c r="X944" s="26"/>
      <c r="Y944" s="26"/>
      <c r="Z944" s="26"/>
    </row>
    <row r="945" ht="15.75" customHeight="1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637"/>
      <c r="V945" s="26"/>
      <c r="W945" s="26"/>
      <c r="X945" s="26"/>
      <c r="Y945" s="26"/>
      <c r="Z945" s="26"/>
    </row>
    <row r="946" ht="15.75" customHeight="1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637"/>
      <c r="V946" s="26"/>
      <c r="W946" s="26"/>
      <c r="X946" s="26"/>
      <c r="Y946" s="26"/>
      <c r="Z946" s="26"/>
    </row>
    <row r="947" ht="15.75" customHeight="1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637"/>
      <c r="V947" s="26"/>
      <c r="W947" s="26"/>
      <c r="X947" s="26"/>
      <c r="Y947" s="26"/>
      <c r="Z947" s="26"/>
    </row>
    <row r="948" ht="15.75" customHeight="1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637"/>
      <c r="V948" s="26"/>
      <c r="W948" s="26"/>
      <c r="X948" s="26"/>
      <c r="Y948" s="26"/>
      <c r="Z948" s="26"/>
    </row>
    <row r="949" ht="15.75" customHeight="1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637"/>
      <c r="V949" s="26"/>
      <c r="W949" s="26"/>
      <c r="X949" s="26"/>
      <c r="Y949" s="26"/>
      <c r="Z949" s="26"/>
    </row>
    <row r="950" ht="15.75" customHeight="1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637"/>
      <c r="V950" s="26"/>
      <c r="W950" s="26"/>
      <c r="X950" s="26"/>
      <c r="Y950" s="26"/>
      <c r="Z950" s="26"/>
    </row>
    <row r="951" ht="15.75" customHeight="1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637"/>
      <c r="V951" s="26"/>
      <c r="W951" s="26"/>
      <c r="X951" s="26"/>
      <c r="Y951" s="26"/>
      <c r="Z951" s="26"/>
    </row>
    <row r="952" ht="15.75" customHeight="1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637"/>
      <c r="V952" s="26"/>
      <c r="W952" s="26"/>
      <c r="X952" s="26"/>
      <c r="Y952" s="26"/>
      <c r="Z952" s="26"/>
    </row>
    <row r="953" ht="15.75" customHeight="1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637"/>
      <c r="V953" s="26"/>
      <c r="W953" s="26"/>
      <c r="X953" s="26"/>
      <c r="Y953" s="26"/>
      <c r="Z953" s="26"/>
    </row>
    <row r="954" ht="15.75" customHeight="1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637"/>
      <c r="V954" s="26"/>
      <c r="W954" s="26"/>
      <c r="X954" s="26"/>
      <c r="Y954" s="26"/>
      <c r="Z954" s="26"/>
    </row>
    <row r="955" ht="15.75" customHeight="1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637"/>
      <c r="V955" s="26"/>
      <c r="W955" s="26"/>
      <c r="X955" s="26"/>
      <c r="Y955" s="26"/>
      <c r="Z955" s="26"/>
    </row>
    <row r="956" ht="15.75" customHeight="1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637"/>
      <c r="V956" s="26"/>
      <c r="W956" s="26"/>
      <c r="X956" s="26"/>
      <c r="Y956" s="26"/>
      <c r="Z956" s="26"/>
    </row>
    <row r="957" ht="15.75" customHeight="1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637"/>
      <c r="V957" s="26"/>
      <c r="W957" s="26"/>
      <c r="X957" s="26"/>
      <c r="Y957" s="26"/>
      <c r="Z957" s="26"/>
    </row>
    <row r="958" ht="15.75" customHeight="1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637"/>
      <c r="V958" s="26"/>
      <c r="W958" s="26"/>
      <c r="X958" s="26"/>
      <c r="Y958" s="26"/>
      <c r="Z958" s="26"/>
    </row>
    <row r="959" ht="15.75" customHeight="1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637"/>
      <c r="V959" s="26"/>
      <c r="W959" s="26"/>
      <c r="X959" s="26"/>
      <c r="Y959" s="26"/>
      <c r="Z959" s="26"/>
    </row>
    <row r="960" ht="15.75" customHeight="1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637"/>
      <c r="V960" s="26"/>
      <c r="W960" s="26"/>
      <c r="X960" s="26"/>
      <c r="Y960" s="26"/>
      <c r="Z960" s="26"/>
    </row>
    <row r="961" ht="15.75" customHeight="1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637"/>
      <c r="V961" s="26"/>
      <c r="W961" s="26"/>
      <c r="X961" s="26"/>
      <c r="Y961" s="26"/>
      <c r="Z961" s="26"/>
    </row>
    <row r="962" ht="15.75" customHeight="1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637"/>
      <c r="V962" s="26"/>
      <c r="W962" s="26"/>
      <c r="X962" s="26"/>
      <c r="Y962" s="26"/>
      <c r="Z962" s="26"/>
    </row>
    <row r="963" ht="15.75" customHeight="1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637"/>
      <c r="V963" s="26"/>
      <c r="W963" s="26"/>
      <c r="X963" s="26"/>
      <c r="Y963" s="26"/>
      <c r="Z963" s="26"/>
    </row>
    <row r="964" ht="15.75" customHeight="1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637"/>
      <c r="V964" s="26"/>
      <c r="W964" s="26"/>
      <c r="X964" s="26"/>
      <c r="Y964" s="26"/>
      <c r="Z964" s="26"/>
    </row>
    <row r="965" ht="15.75" customHeight="1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637"/>
      <c r="V965" s="26"/>
      <c r="W965" s="26"/>
      <c r="X965" s="26"/>
      <c r="Y965" s="26"/>
      <c r="Z965" s="26"/>
    </row>
    <row r="966" ht="15.75" customHeight="1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637"/>
      <c r="V966" s="26"/>
      <c r="W966" s="26"/>
      <c r="X966" s="26"/>
      <c r="Y966" s="26"/>
      <c r="Z966" s="26"/>
    </row>
    <row r="967" ht="15.75" customHeight="1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637"/>
      <c r="V967" s="26"/>
      <c r="W967" s="26"/>
      <c r="X967" s="26"/>
      <c r="Y967" s="26"/>
      <c r="Z967" s="26"/>
    </row>
    <row r="968" ht="15.75" customHeight="1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637"/>
      <c r="V968" s="26"/>
      <c r="W968" s="26"/>
      <c r="X968" s="26"/>
      <c r="Y968" s="26"/>
      <c r="Z968" s="26"/>
    </row>
    <row r="969" ht="15.75" customHeight="1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637"/>
      <c r="V969" s="26"/>
      <c r="W969" s="26"/>
      <c r="X969" s="26"/>
      <c r="Y969" s="26"/>
      <c r="Z969" s="26"/>
    </row>
    <row r="970" ht="15.75" customHeight="1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637"/>
      <c r="V970" s="26"/>
      <c r="W970" s="26"/>
      <c r="X970" s="26"/>
      <c r="Y970" s="26"/>
      <c r="Z970" s="26"/>
    </row>
    <row r="971" ht="15.75" customHeight="1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637"/>
      <c r="V971" s="26"/>
      <c r="W971" s="26"/>
      <c r="X971" s="26"/>
      <c r="Y971" s="26"/>
      <c r="Z971" s="26"/>
    </row>
    <row r="972" ht="15.75" customHeight="1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637"/>
      <c r="V972" s="26"/>
      <c r="W972" s="26"/>
      <c r="X972" s="26"/>
      <c r="Y972" s="26"/>
      <c r="Z972" s="26"/>
    </row>
    <row r="973" ht="15.75" customHeight="1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637"/>
      <c r="V973" s="26"/>
      <c r="W973" s="26"/>
      <c r="X973" s="26"/>
      <c r="Y973" s="26"/>
      <c r="Z973" s="26"/>
    </row>
    <row r="974" ht="15.75" customHeight="1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637"/>
      <c r="V974" s="26"/>
      <c r="W974" s="26"/>
      <c r="X974" s="26"/>
      <c r="Y974" s="26"/>
      <c r="Z974" s="26"/>
    </row>
    <row r="975" ht="15.75" customHeight="1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637"/>
      <c r="V975" s="26"/>
      <c r="W975" s="26"/>
      <c r="X975" s="26"/>
      <c r="Y975" s="26"/>
      <c r="Z975" s="26"/>
    </row>
    <row r="976" ht="15.75" customHeight="1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637"/>
      <c r="V976" s="26"/>
      <c r="W976" s="26"/>
      <c r="X976" s="26"/>
      <c r="Y976" s="26"/>
      <c r="Z976" s="26"/>
    </row>
    <row r="977" ht="15.75" customHeight="1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637"/>
      <c r="V977" s="26"/>
      <c r="W977" s="26"/>
      <c r="X977" s="26"/>
      <c r="Y977" s="26"/>
      <c r="Z977" s="26"/>
    </row>
    <row r="978" ht="15.75" customHeight="1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637"/>
      <c r="V978" s="26"/>
      <c r="W978" s="26"/>
      <c r="X978" s="26"/>
      <c r="Y978" s="26"/>
      <c r="Z978" s="26"/>
    </row>
    <row r="979" ht="15.75" customHeight="1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637"/>
      <c r="V979" s="26"/>
      <c r="W979" s="26"/>
      <c r="X979" s="26"/>
      <c r="Y979" s="26"/>
      <c r="Z979" s="26"/>
    </row>
    <row r="980" ht="15.75" customHeight="1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637"/>
      <c r="V980" s="26"/>
      <c r="W980" s="26"/>
      <c r="X980" s="26"/>
      <c r="Y980" s="26"/>
      <c r="Z980" s="26"/>
    </row>
    <row r="981" ht="15.75" customHeight="1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637"/>
      <c r="V981" s="26"/>
      <c r="W981" s="26"/>
      <c r="X981" s="26"/>
      <c r="Y981" s="26"/>
      <c r="Z981" s="26"/>
    </row>
    <row r="982" ht="15.75" customHeight="1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637"/>
      <c r="V982" s="26"/>
      <c r="W982" s="26"/>
      <c r="X982" s="26"/>
      <c r="Y982" s="26"/>
      <c r="Z982" s="26"/>
    </row>
    <row r="983" ht="15.75" customHeight="1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637"/>
      <c r="V983" s="26"/>
      <c r="W983" s="26"/>
      <c r="X983" s="26"/>
      <c r="Y983" s="26"/>
      <c r="Z983" s="26"/>
    </row>
    <row r="984" ht="15.75" customHeight="1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637"/>
      <c r="V984" s="26"/>
      <c r="W984" s="26"/>
      <c r="X984" s="26"/>
      <c r="Y984" s="26"/>
      <c r="Z984" s="26"/>
    </row>
    <row r="985" ht="15.75" customHeight="1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637"/>
      <c r="V985" s="26"/>
      <c r="W985" s="26"/>
      <c r="X985" s="26"/>
      <c r="Y985" s="26"/>
      <c r="Z985" s="26"/>
    </row>
    <row r="986" ht="15.75" customHeight="1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637"/>
      <c r="V986" s="26"/>
      <c r="W986" s="26"/>
      <c r="X986" s="26"/>
      <c r="Y986" s="26"/>
      <c r="Z986" s="26"/>
    </row>
    <row r="987" ht="15.75" customHeight="1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637"/>
      <c r="V987" s="26"/>
      <c r="W987" s="26"/>
      <c r="X987" s="26"/>
      <c r="Y987" s="26"/>
      <c r="Z987" s="26"/>
    </row>
    <row r="988" ht="15.75" customHeight="1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637"/>
      <c r="V988" s="26"/>
      <c r="W988" s="26"/>
      <c r="X988" s="26"/>
      <c r="Y988" s="26"/>
      <c r="Z988" s="26"/>
    </row>
    <row r="989" ht="15.75" customHeight="1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637"/>
      <c r="V989" s="26"/>
      <c r="W989" s="26"/>
      <c r="X989" s="26"/>
      <c r="Y989" s="26"/>
      <c r="Z989" s="26"/>
    </row>
    <row r="990" ht="15.75" customHeight="1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637"/>
      <c r="V990" s="26"/>
      <c r="W990" s="26"/>
      <c r="X990" s="26"/>
      <c r="Y990" s="26"/>
      <c r="Z990" s="26"/>
    </row>
    <row r="991" ht="15.75" customHeight="1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637"/>
      <c r="V991" s="26"/>
      <c r="W991" s="26"/>
      <c r="X991" s="26"/>
      <c r="Y991" s="26"/>
      <c r="Z991" s="26"/>
    </row>
    <row r="992" ht="15.75" customHeight="1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637"/>
      <c r="V992" s="26"/>
      <c r="W992" s="26"/>
      <c r="X992" s="26"/>
      <c r="Y992" s="26"/>
      <c r="Z992" s="26"/>
    </row>
    <row r="993" ht="15.75" customHeight="1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637"/>
      <c r="V993" s="26"/>
      <c r="W993" s="26"/>
      <c r="X993" s="26"/>
      <c r="Y993" s="26"/>
      <c r="Z993" s="26"/>
    </row>
    <row r="994" ht="15.75" customHeight="1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637"/>
      <c r="V994" s="26"/>
      <c r="W994" s="26"/>
      <c r="X994" s="26"/>
      <c r="Y994" s="26"/>
      <c r="Z994" s="26"/>
    </row>
    <row r="995" ht="15.75" customHeight="1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637"/>
      <c r="V995" s="26"/>
      <c r="W995" s="26"/>
      <c r="X995" s="26"/>
      <c r="Y995" s="26"/>
      <c r="Z995" s="26"/>
    </row>
    <row r="996" ht="15.75" customHeight="1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637"/>
      <c r="V996" s="26"/>
      <c r="W996" s="26"/>
      <c r="X996" s="26"/>
      <c r="Y996" s="26"/>
      <c r="Z996" s="26"/>
    </row>
    <row r="997" ht="15.75" customHeight="1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637"/>
      <c r="V997" s="26"/>
      <c r="W997" s="26"/>
      <c r="X997" s="26"/>
      <c r="Y997" s="26"/>
      <c r="Z997" s="26"/>
    </row>
    <row r="998" ht="15.75" customHeight="1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637"/>
      <c r="V998" s="26"/>
      <c r="W998" s="26"/>
      <c r="X998" s="26"/>
      <c r="Y998" s="26"/>
      <c r="Z998" s="26"/>
    </row>
    <row r="999" ht="15.75" customHeight="1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637"/>
      <c r="V999" s="26"/>
      <c r="W999" s="26"/>
      <c r="X999" s="26"/>
      <c r="Y999" s="26"/>
      <c r="Z999" s="26"/>
    </row>
    <row r="1000" ht="15.75" customHeight="1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637"/>
      <c r="V1000" s="26"/>
      <c r="W1000" s="26"/>
      <c r="X1000" s="26"/>
      <c r="Y1000" s="26"/>
      <c r="Z1000" s="26"/>
    </row>
  </sheetData>
  <mergeCells count="75">
    <mergeCell ref="H12:J12"/>
    <mergeCell ref="H18:I18"/>
    <mergeCell ref="H5:J5"/>
    <mergeCell ref="H6:J6"/>
    <mergeCell ref="H7:J7"/>
    <mergeCell ref="H8:J8"/>
    <mergeCell ref="H9:J9"/>
    <mergeCell ref="H10:J10"/>
    <mergeCell ref="H11:J11"/>
    <mergeCell ref="A20:B20"/>
    <mergeCell ref="A21:B21"/>
    <mergeCell ref="C23:D23"/>
    <mergeCell ref="E23:F23"/>
    <mergeCell ref="H23:I23"/>
    <mergeCell ref="K23:L23"/>
    <mergeCell ref="N23:O23"/>
    <mergeCell ref="A22:B22"/>
    <mergeCell ref="A26:B26"/>
    <mergeCell ref="C28:D28"/>
    <mergeCell ref="E28:F28"/>
    <mergeCell ref="H28:I28"/>
    <mergeCell ref="K28:L28"/>
    <mergeCell ref="N28:O28"/>
    <mergeCell ref="A67:B67"/>
    <mergeCell ref="A68:B68"/>
    <mergeCell ref="C69:D69"/>
    <mergeCell ref="A72:B72"/>
    <mergeCell ref="A73:B73"/>
    <mergeCell ref="C74:D74"/>
    <mergeCell ref="A27:B27"/>
    <mergeCell ref="A29:B29"/>
    <mergeCell ref="A31:B31"/>
    <mergeCell ref="A62:B62"/>
    <mergeCell ref="A63:B63"/>
    <mergeCell ref="C64:D64"/>
    <mergeCell ref="A66:B66"/>
    <mergeCell ref="B2:J3"/>
    <mergeCell ref="A5:B5"/>
    <mergeCell ref="C5:F5"/>
    <mergeCell ref="K5:M5"/>
    <mergeCell ref="N5:P5"/>
    <mergeCell ref="A6:B6"/>
    <mergeCell ref="C6:F6"/>
    <mergeCell ref="K9:M9"/>
    <mergeCell ref="K10:M10"/>
    <mergeCell ref="K11:M11"/>
    <mergeCell ref="K12:M12"/>
    <mergeCell ref="K18:L18"/>
    <mergeCell ref="N10:P10"/>
    <mergeCell ref="N11:P11"/>
    <mergeCell ref="N12:P12"/>
    <mergeCell ref="N18:O18"/>
    <mergeCell ref="K6:M6"/>
    <mergeCell ref="N6:P6"/>
    <mergeCell ref="K7:M7"/>
    <mergeCell ref="N7:P7"/>
    <mergeCell ref="K8:M8"/>
    <mergeCell ref="N8:P8"/>
    <mergeCell ref="N9:P9"/>
    <mergeCell ref="C11:F11"/>
    <mergeCell ref="C12:F12"/>
    <mergeCell ref="A7:B7"/>
    <mergeCell ref="C7:F7"/>
    <mergeCell ref="A8:B8"/>
    <mergeCell ref="C8:F8"/>
    <mergeCell ref="A9:B9"/>
    <mergeCell ref="C9:F9"/>
    <mergeCell ref="C10:F10"/>
    <mergeCell ref="A10:B10"/>
    <mergeCell ref="A11:B11"/>
    <mergeCell ref="A12:B12"/>
    <mergeCell ref="A16:B16"/>
    <mergeCell ref="A17:B17"/>
    <mergeCell ref="C18:D18"/>
    <mergeCell ref="E18:F18"/>
  </mergeCells>
  <conditionalFormatting sqref="H6:H12 K6:K12 N6:N12">
    <cfRule type="expression" dxfId="8" priority="1">
      <formula>#REF!=1</formula>
    </cfRule>
  </conditionalFormatting>
  <conditionalFormatting sqref="C6:C12">
    <cfRule type="expression" dxfId="8" priority="2">
      <formula>#REF!=1</formula>
    </cfRule>
  </conditionalFormatting>
  <conditionalFormatting sqref="G6:G12">
    <cfRule type="expression" dxfId="8" priority="3">
      <formula>#REF!=1</formula>
    </cfRule>
  </conditionalFormatting>
  <dataValidations>
    <dataValidation type="list" allowBlank="1" showErrorMessage="1" sqref="C16:C17 C21:C22 C26:C27">
      <formula1>$A$100:$A$108</formula1>
    </dataValidation>
    <dataValidation type="list" allowBlank="1" showInputMessage="1" showErrorMessage="1" prompt="FGFGGHGH" sqref="D73">
      <formula1>$B$100:$B$111</formula1>
    </dataValidation>
    <dataValidation type="list" allowBlank="1" showErrorMessage="1" sqref="V2:V17">
      <formula1>"Yes,No"</formula1>
    </dataValidation>
    <dataValidation type="list" allowBlank="1" showErrorMessage="1" sqref="D16:D17 F17 I17 L17 O17 D21:D22 F22 I22 L22 O22 D26:D27 F27 I27 L27 O27 F63 I63 L63 O63 F68 I68 L68 O68 F73 I73 L73 O73">
      <formula1>$B$100:$B$111</formula1>
    </dataValidation>
    <dataValidation type="list" allowBlank="1" showErrorMessage="1" sqref="E17 H17 K17 N17 E22 H22 K22 N22 E27 H27 K27 N27 E63 H63 K63 N63 E68 H68 K68 N68 E73 H73 K73 N73">
      <formula1>$A$100:$A$107</formula1>
    </dataValidation>
    <dataValidation type="list" allowBlank="1" showInputMessage="1" showErrorMessage="1" prompt="FGFGGHGH" sqref="C62:D63 C67:D68 C72:D72 C73">
      <formula1>$A$100:$A$108</formula1>
    </dataValidation>
  </dataValidation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2.63" defaultRowHeight="15.0"/>
  <cols>
    <col customWidth="1" min="1" max="1" width="18.13"/>
    <col customWidth="1" min="2" max="2" width="17.88"/>
    <col customWidth="1" min="3" max="3" width="18.13"/>
    <col customWidth="1" min="4" max="4" width="17.63"/>
    <col customWidth="1" min="5" max="5" width="18.25"/>
    <col customWidth="1" min="6" max="26" width="8.63"/>
  </cols>
  <sheetData>
    <row r="1" ht="14.25" customHeight="1">
      <c r="A1" s="686" t="s">
        <v>243</v>
      </c>
      <c r="B1" s="686" t="s">
        <v>244</v>
      </c>
      <c r="C1" s="157"/>
    </row>
    <row r="2" ht="14.25" customHeight="1">
      <c r="A2" s="687" t="s">
        <v>352</v>
      </c>
      <c r="B2" s="687" t="s">
        <v>353</v>
      </c>
      <c r="C2" s="157"/>
    </row>
    <row r="3" ht="14.25" customHeight="1">
      <c r="A3" s="687" t="s">
        <v>0</v>
      </c>
      <c r="B3" s="688">
        <f>DAILY!T4</f>
        <v>46109</v>
      </c>
      <c r="C3" s="400"/>
    </row>
    <row r="4" ht="14.25" customHeight="1"/>
    <row r="5" ht="14.25" customHeight="1">
      <c r="A5" s="686" t="s">
        <v>243</v>
      </c>
      <c r="B5" s="686" t="s">
        <v>244</v>
      </c>
      <c r="C5" s="686" t="s">
        <v>245</v>
      </c>
      <c r="D5" s="686" t="s">
        <v>246</v>
      </c>
      <c r="E5" s="686" t="s">
        <v>354</v>
      </c>
    </row>
    <row r="6" ht="14.25" customHeight="1">
      <c r="A6" s="687" t="s">
        <v>355</v>
      </c>
      <c r="B6" s="687" t="s">
        <v>260</v>
      </c>
      <c r="C6" s="687" t="s">
        <v>264</v>
      </c>
      <c r="D6" s="687" t="s">
        <v>267</v>
      </c>
      <c r="E6" s="687" t="s">
        <v>337</v>
      </c>
    </row>
    <row r="7" ht="14.25" customHeight="1">
      <c r="A7" s="687" t="s">
        <v>5</v>
      </c>
      <c r="B7" s="689">
        <f>DAILY!I19</f>
        <v>15540</v>
      </c>
      <c r="C7" s="690">
        <f>DAILY!J19</f>
        <v>16210</v>
      </c>
      <c r="D7" s="689">
        <f>DAILY!K19</f>
        <v>0</v>
      </c>
      <c r="E7" s="689">
        <f>DAILY!L19</f>
        <v>31750</v>
      </c>
    </row>
    <row r="8" ht="14.25" customHeight="1">
      <c r="A8" s="687" t="s">
        <v>333</v>
      </c>
      <c r="B8" s="690">
        <f>DAILY!I21</f>
        <v>0</v>
      </c>
      <c r="C8" s="690">
        <f>DAILY!J21</f>
        <v>0</v>
      </c>
      <c r="D8" s="689">
        <f>DAILY!K21</f>
        <v>0</v>
      </c>
      <c r="E8" s="690">
        <f>DAILY!L21</f>
        <v>0</v>
      </c>
    </row>
    <row r="9" ht="14.25" customHeight="1">
      <c r="A9" s="687" t="s">
        <v>356</v>
      </c>
      <c r="B9" s="691">
        <f>DAILY!I22</f>
        <v>4410</v>
      </c>
      <c r="C9" s="691">
        <f>DAILY!J22</f>
        <v>3760</v>
      </c>
      <c r="D9" s="692">
        <f>DAILY!K22</f>
        <v>0</v>
      </c>
      <c r="E9" s="691">
        <f>DAILY!L22</f>
        <v>8170</v>
      </c>
    </row>
    <row r="10" ht="14.25" customHeight="1">
      <c r="A10" s="687" t="s">
        <v>335</v>
      </c>
      <c r="B10" s="691">
        <f>DAILY!I23</f>
        <v>11130</v>
      </c>
      <c r="C10" s="691">
        <f>DAILY!J23</f>
        <v>12450</v>
      </c>
      <c r="D10" s="692">
        <f>DAILY!K23</f>
        <v>0</v>
      </c>
      <c r="E10" s="691">
        <f>DAILY!L23</f>
        <v>23580</v>
      </c>
    </row>
    <row r="11" ht="14.25" customHeight="1">
      <c r="A11" s="687" t="s">
        <v>253</v>
      </c>
      <c r="B11" s="691">
        <f>DAILY!I24</f>
        <v>0</v>
      </c>
      <c r="C11" s="691">
        <f>DAILY!J24</f>
        <v>0</v>
      </c>
      <c r="D11" s="692" t="str">
        <f>DAILY!K24</f>
        <v/>
      </c>
      <c r="E11" s="691">
        <f>DAILY!L24</f>
        <v>0</v>
      </c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</row>
    <row r="12" ht="14.25" customHeight="1">
      <c r="A12" s="687" t="s">
        <v>227</v>
      </c>
      <c r="B12" s="690">
        <f>DAILY!I25</f>
        <v>5000</v>
      </c>
      <c r="C12" s="690">
        <f>DAILY!J25</f>
        <v>0</v>
      </c>
      <c r="D12" s="689">
        <f>DAILY!K25</f>
        <v>0</v>
      </c>
      <c r="E12" s="690">
        <f>DAILY!L25</f>
        <v>5000</v>
      </c>
    </row>
    <row r="13" ht="14.25" customHeight="1"/>
    <row r="14" ht="14.25" customHeight="1">
      <c r="A14" s="686" t="s">
        <v>243</v>
      </c>
      <c r="B14" s="686" t="s">
        <v>244</v>
      </c>
    </row>
    <row r="15" ht="14.25" customHeight="1">
      <c r="A15" s="687" t="s">
        <v>214</v>
      </c>
      <c r="B15" s="687"/>
    </row>
    <row r="16" ht="14.25" customHeight="1">
      <c r="A16" s="687" t="s">
        <v>5</v>
      </c>
      <c r="B16" s="689">
        <f>DAILY!M19</f>
        <v>673590</v>
      </c>
    </row>
    <row r="17" ht="14.25" customHeight="1">
      <c r="A17" s="687" t="s">
        <v>333</v>
      </c>
      <c r="B17" s="689">
        <f>DAILY!M21</f>
        <v>0</v>
      </c>
    </row>
    <row r="18" ht="14.25" customHeight="1">
      <c r="A18" s="687" t="s">
        <v>356</v>
      </c>
      <c r="B18" s="689">
        <f>DAILY!M22</f>
        <v>221920</v>
      </c>
    </row>
    <row r="19" ht="14.25" customHeight="1">
      <c r="A19" s="687" t="s">
        <v>335</v>
      </c>
      <c r="B19" s="689">
        <f>DAILY!M23</f>
        <v>451670</v>
      </c>
    </row>
    <row r="20" ht="14.25" customHeight="1">
      <c r="A20" s="687" t="s">
        <v>253</v>
      </c>
      <c r="B20" s="689">
        <f>DAILY!M24</f>
        <v>22846</v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</row>
    <row r="21" ht="14.25" customHeight="1">
      <c r="A21" s="687" t="s">
        <v>227</v>
      </c>
      <c r="B21" s="689">
        <f>DAILY!M25</f>
        <v>105260</v>
      </c>
    </row>
    <row r="22" ht="14.25" customHeight="1">
      <c r="A22" s="693"/>
      <c r="B22" s="693"/>
    </row>
    <row r="23" ht="14.25" customHeight="1">
      <c r="A23" s="686" t="s">
        <v>243</v>
      </c>
      <c r="B23" s="686" t="s">
        <v>244</v>
      </c>
      <c r="C23" s="686" t="s">
        <v>245</v>
      </c>
      <c r="D23" s="686" t="s">
        <v>246</v>
      </c>
    </row>
    <row r="24" ht="14.25" customHeight="1">
      <c r="A24" s="687" t="s">
        <v>357</v>
      </c>
      <c r="B24" s="687" t="s">
        <v>298</v>
      </c>
      <c r="C24" s="687" t="s">
        <v>299</v>
      </c>
      <c r="D24" s="687" t="s">
        <v>300</v>
      </c>
    </row>
    <row r="25" ht="14.25" customHeight="1">
      <c r="A25" s="687" t="s">
        <v>358</v>
      </c>
      <c r="B25" s="694" t="str">
        <f>DAILY!P20</f>
        <v/>
      </c>
      <c r="C25" s="694" t="str">
        <f>DAILY!Q20</f>
        <v/>
      </c>
      <c r="D25" s="694" t="str">
        <f>DAILY!R20</f>
        <v/>
      </c>
      <c r="E25" s="157"/>
    </row>
    <row r="26" ht="14.25" customHeight="1">
      <c r="A26" s="687" t="s">
        <v>359</v>
      </c>
      <c r="B26" s="694" t="str">
        <f>DAILY!P21</f>
        <v/>
      </c>
      <c r="C26" s="694" t="str">
        <f>DAILY!Q21</f>
        <v/>
      </c>
      <c r="D26" s="694" t="str">
        <f>DAILY!R21</f>
        <v/>
      </c>
      <c r="E26" s="157"/>
    </row>
    <row r="27" ht="14.25" customHeight="1">
      <c r="A27" s="687" t="s">
        <v>360</v>
      </c>
      <c r="B27" s="694" t="str">
        <f>DAILY!P22</f>
        <v/>
      </c>
      <c r="C27" s="694" t="str">
        <f>DAILY!Q22</f>
        <v/>
      </c>
      <c r="D27" s="694" t="str">
        <f>DAILY!R22</f>
        <v/>
      </c>
      <c r="E27" s="157"/>
    </row>
    <row r="28" ht="14.25" customHeight="1">
      <c r="F28" s="695"/>
    </row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onditionalFormatting sqref="B9:E11">
    <cfRule type="expression" dxfId="8" priority="1">
      <formula>#REF!=1</formula>
    </cfRule>
  </conditionalFormatting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>
      <c r="Z33" s="26">
        <v>1.0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2021-03-27T09:05:24Z</dcterms:created>
  <dc:creator>d5 screening plant5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